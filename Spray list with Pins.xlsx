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s\Documents\ILS\"/>
    </mc:Choice>
  </mc:AlternateContent>
  <xr:revisionPtr revIDLastSave="0" documentId="8_{16AD04E9-EE5E-44D6-A071-E9677399C8E3}" xr6:coauthVersionLast="47" xr6:coauthVersionMax="47" xr10:uidLastSave="{00000000-0000-0000-0000-000000000000}"/>
  <bookViews>
    <workbookView xWindow="-98" yWindow="-98" windowWidth="21795" windowHeight="12975" xr2:uid="{74E41A50-486C-419D-8ECD-A6F672F4163E}"/>
  </bookViews>
  <sheets>
    <sheet name="Roelands" sheetId="1" r:id="rId1"/>
    <sheet name="Busselt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3" i="2"/>
  <c r="D211" i="1"/>
  <c r="D210" i="1"/>
  <c r="D209" i="1"/>
  <c r="D208" i="1"/>
  <c r="D207" i="1"/>
  <c r="D206" i="1"/>
  <c r="D205" i="1"/>
  <c r="D204" i="1"/>
  <c r="D203" i="1"/>
  <c r="D202" i="1"/>
  <c r="D201" i="1"/>
  <c r="D200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7" i="1"/>
  <c r="D176" i="1"/>
  <c r="D175" i="1"/>
  <c r="D174" i="1"/>
  <c r="D173" i="1"/>
  <c r="D171" i="1"/>
  <c r="D170" i="1"/>
  <c r="D168" i="1"/>
  <c r="D167" i="1"/>
  <c r="D166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7" i="1"/>
  <c r="D146" i="1"/>
  <c r="D144" i="1"/>
  <c r="D143" i="1"/>
  <c r="D142" i="1"/>
  <c r="D141" i="1"/>
  <c r="D140" i="1"/>
  <c r="D139" i="1"/>
  <c r="D138" i="1"/>
  <c r="D137" i="1"/>
  <c r="D136" i="1"/>
  <c r="D134" i="1"/>
  <c r="D133" i="1"/>
  <c r="D132" i="1"/>
  <c r="D131" i="1"/>
  <c r="D130" i="1"/>
  <c r="D125" i="1"/>
  <c r="D124" i="1"/>
  <c r="D123" i="1"/>
  <c r="D122" i="1"/>
  <c r="D121" i="1"/>
  <c r="D120" i="1"/>
  <c r="D119" i="1"/>
  <c r="D118" i="1"/>
  <c r="D117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0" i="1"/>
  <c r="D98" i="1"/>
  <c r="D97" i="1"/>
  <c r="D96" i="1"/>
  <c r="D95" i="1"/>
  <c r="D94" i="1"/>
  <c r="D93" i="1"/>
  <c r="D92" i="1"/>
  <c r="D89" i="1"/>
  <c r="D88" i="1"/>
  <c r="D87" i="1"/>
  <c r="D86" i="1"/>
  <c r="D85" i="1"/>
  <c r="D84" i="1"/>
  <c r="D83" i="1"/>
  <c r="D82" i="1"/>
  <c r="D81" i="1"/>
  <c r="D80" i="1"/>
  <c r="D78" i="1"/>
  <c r="D76" i="1"/>
  <c r="D74" i="1"/>
  <c r="D73" i="1"/>
  <c r="D72" i="1"/>
  <c r="D71" i="1"/>
  <c r="D69" i="1"/>
  <c r="D68" i="1"/>
  <c r="D67" i="1"/>
  <c r="D66" i="1"/>
  <c r="D65" i="1"/>
  <c r="D64" i="1"/>
  <c r="D63" i="1"/>
  <c r="D62" i="1"/>
  <c r="D60" i="1"/>
  <c r="D59" i="1"/>
  <c r="D57" i="1"/>
  <c r="D56" i="1"/>
  <c r="D55" i="1"/>
  <c r="D54" i="1"/>
  <c r="D51" i="1"/>
  <c r="D50" i="1"/>
  <c r="D49" i="1"/>
  <c r="D48" i="1"/>
  <c r="D47" i="1"/>
  <c r="D46" i="1"/>
  <c r="D45" i="1"/>
  <c r="D43" i="1"/>
  <c r="D42" i="1"/>
  <c r="D41" i="1"/>
  <c r="D40" i="1"/>
  <c r="D39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214" i="1" s="1"/>
  <c r="D10" i="1"/>
  <c r="D9" i="1"/>
  <c r="D7" i="1"/>
  <c r="D6" i="1"/>
  <c r="D5" i="1"/>
</calcChain>
</file>

<file path=xl/sharedStrings.xml><?xml version="1.0" encoding="utf-8"?>
<sst xmlns="http://schemas.openxmlformats.org/spreadsheetml/2006/main" count="192" uniqueCount="186">
  <si>
    <t>Drain  -  Roelands Drainage District</t>
  </si>
  <si>
    <t>Start</t>
  </si>
  <si>
    <t>End</t>
  </si>
  <si>
    <t>Total Dist</t>
  </si>
  <si>
    <t>Comments</t>
  </si>
  <si>
    <t>Collie River Catchment</t>
  </si>
  <si>
    <t>BEAUFORT A</t>
  </si>
  <si>
    <t>BEAUFORT C</t>
  </si>
  <si>
    <t xml:space="preserve">BEAUFORT MAIN DRAIN </t>
  </si>
  <si>
    <t>BENGER A</t>
  </si>
  <si>
    <t>Spray section in road reserve.</t>
  </si>
  <si>
    <t>BENGER B</t>
  </si>
  <si>
    <t>BENGER B2</t>
  </si>
  <si>
    <t>BENGER B2A</t>
  </si>
  <si>
    <t>BENGER C</t>
  </si>
  <si>
    <t>BENGER D</t>
  </si>
  <si>
    <t>BENGER D1</t>
  </si>
  <si>
    <t>BENGER D3</t>
  </si>
  <si>
    <t>BENGER E</t>
  </si>
  <si>
    <t>BENGER E1</t>
  </si>
  <si>
    <t>BENGER E1A</t>
  </si>
  <si>
    <t>BENGER E1B</t>
  </si>
  <si>
    <t>BENGER E1C</t>
  </si>
  <si>
    <t>BENGER E1D</t>
  </si>
  <si>
    <t>BENGER E2</t>
  </si>
  <si>
    <t>BENGER F</t>
  </si>
  <si>
    <t>BENGER G</t>
  </si>
  <si>
    <t>BENGER G1</t>
  </si>
  <si>
    <t>BENGER H</t>
  </si>
  <si>
    <t>BENGER H2</t>
  </si>
  <si>
    <t>BENGER H2A</t>
  </si>
  <si>
    <t>BENGER H3</t>
  </si>
  <si>
    <t>BENGER 1E</t>
  </si>
  <si>
    <t>BENGER J1</t>
  </si>
  <si>
    <t>BENGER L</t>
  </si>
  <si>
    <t>BENGER L1</t>
  </si>
  <si>
    <t>BENGER L2A</t>
  </si>
  <si>
    <t>BENGER MAIN DRAIN</t>
  </si>
  <si>
    <t>BRUNSWICK RIVER C</t>
  </si>
  <si>
    <t>BRUNSWICK RIVER C1</t>
  </si>
  <si>
    <t>BRUNSWICK RIVER D</t>
  </si>
  <si>
    <t>BRUNSWICK RIVER D1</t>
  </si>
  <si>
    <t>BUTTERCUP A</t>
  </si>
  <si>
    <t>BUTTERCUP B</t>
  </si>
  <si>
    <t>BUTTERCUP C</t>
  </si>
  <si>
    <t>BUTTERCUP D</t>
  </si>
  <si>
    <t>BUTTERCUP E</t>
  </si>
  <si>
    <t>BUTTERCUP F</t>
  </si>
  <si>
    <t>BUTTERCUP MAIN DRAIN</t>
  </si>
  <si>
    <t xml:space="preserve">COLLIE RIVER A </t>
  </si>
  <si>
    <t>COLLIE RIVER A1</t>
  </si>
  <si>
    <t>COLLIE RIVER B</t>
  </si>
  <si>
    <t>COLLIE RIVER C</t>
  </si>
  <si>
    <t>DRUID B</t>
  </si>
  <si>
    <t>DRUID DRAIN</t>
  </si>
  <si>
    <t>ELVIRA GULLY A</t>
  </si>
  <si>
    <t>ELVIRA GULLY C</t>
  </si>
  <si>
    <t>ELVIRA GULLY D</t>
  </si>
  <si>
    <t>ELVIRA GULLY D2</t>
  </si>
  <si>
    <t>ELVIRA GULLY F</t>
  </si>
  <si>
    <t>Phone Kevin Lewis  0408910680  Before Entry.</t>
  </si>
  <si>
    <t>ELVIRA GULLY F1</t>
  </si>
  <si>
    <t>ELVIRA GULLY G1</t>
  </si>
  <si>
    <t>ELVIRA GULLY MAIN DRAIN</t>
  </si>
  <si>
    <t>HENTY BK A</t>
  </si>
  <si>
    <t>HENTY BK B</t>
  </si>
  <si>
    <t>HENTY BK C</t>
  </si>
  <si>
    <t>HENTY BK D</t>
  </si>
  <si>
    <t xml:space="preserve">MELVILLE RD DRAIN </t>
  </si>
  <si>
    <t>TOTHILL A</t>
  </si>
  <si>
    <t xml:space="preserve">TREENDALE A </t>
  </si>
  <si>
    <t>TREENDALE A1</t>
  </si>
  <si>
    <t>TREENDALE A2</t>
  </si>
  <si>
    <t>TREENDALE A3</t>
  </si>
  <si>
    <t>TREENDALE A4</t>
  </si>
  <si>
    <t>TREENDALE B</t>
  </si>
  <si>
    <t>TREENDALE C</t>
  </si>
  <si>
    <t>TREENDALE D</t>
  </si>
  <si>
    <t>TREENDALE E</t>
  </si>
  <si>
    <t>TREENDALE MAIN DRAIN</t>
  </si>
  <si>
    <t>VALIANT B</t>
  </si>
  <si>
    <t>VALIANT B1</t>
  </si>
  <si>
    <t>VALIANT C</t>
  </si>
  <si>
    <t>VALIANT D</t>
  </si>
  <si>
    <t>VALIANT E</t>
  </si>
  <si>
    <t>VALIANT G</t>
  </si>
  <si>
    <t>VALIANT MAIN DRAIN</t>
  </si>
  <si>
    <t xml:space="preserve">VENOM MAIN DRAIN </t>
  </si>
  <si>
    <t xml:space="preserve">VICTORY 1A1 </t>
  </si>
  <si>
    <t>VICTORY A</t>
  </si>
  <si>
    <t>VICTORY A1</t>
  </si>
  <si>
    <t xml:space="preserve">VICTORY C  </t>
  </si>
  <si>
    <t>Rob Drennan. Mob. 0427263243.</t>
  </si>
  <si>
    <t>VICTORY F</t>
  </si>
  <si>
    <t>VICTORY G</t>
  </si>
  <si>
    <t>VICTORY H</t>
  </si>
  <si>
    <t>VICTORY K</t>
  </si>
  <si>
    <t>VICTORY L</t>
  </si>
  <si>
    <t>VICTORY L1</t>
  </si>
  <si>
    <t>VICTORY M</t>
  </si>
  <si>
    <t>VICTORY N</t>
  </si>
  <si>
    <t xml:space="preserve">VICTORY MAIN DRAIN </t>
  </si>
  <si>
    <t>VINDICTIVE A</t>
  </si>
  <si>
    <t>VINDICTIVE B</t>
  </si>
  <si>
    <t>VINDICTIVE C</t>
  </si>
  <si>
    <t>VINDICTIVE C1</t>
  </si>
  <si>
    <t>VINDICTIVE C2</t>
  </si>
  <si>
    <t xml:space="preserve">VINDICTIVE C3 </t>
  </si>
  <si>
    <t>VINDICTIVE F</t>
  </si>
  <si>
    <t>VINDICTIVE MAIN DRAIN</t>
  </si>
  <si>
    <t>Preston River Catchment</t>
  </si>
  <si>
    <t>BUSHER MAIN DRAIN</t>
  </si>
  <si>
    <t>BUSHER C</t>
  </si>
  <si>
    <t>BUSHER D</t>
  </si>
  <si>
    <t>BUSHER F</t>
  </si>
  <si>
    <t>BUSHER A</t>
  </si>
  <si>
    <t>EAST PICTON A</t>
  </si>
  <si>
    <t>EAST PICTON B</t>
  </si>
  <si>
    <t>EAST PICTON B1</t>
  </si>
  <si>
    <t>EAST PICTON C</t>
  </si>
  <si>
    <t>EAST PICTON D</t>
  </si>
  <si>
    <t>EAST PICTON MAIN DRAIN</t>
  </si>
  <si>
    <t>EAST PICTON E</t>
  </si>
  <si>
    <t>FERGUSON A</t>
  </si>
  <si>
    <t>FERGUSON B</t>
  </si>
  <si>
    <t>GAVINS GULLY 1G</t>
  </si>
  <si>
    <t>GAVINS GULLY 1H</t>
  </si>
  <si>
    <t>GAVINS GULLY A</t>
  </si>
  <si>
    <t>GAVINS GULLY B</t>
  </si>
  <si>
    <t>GAVINS GULLY C</t>
  </si>
  <si>
    <t>GAVINS GULLY F</t>
  </si>
  <si>
    <t>GAVINS GULLY G</t>
  </si>
  <si>
    <t>GAVINS GULLY G1</t>
  </si>
  <si>
    <t>GAVINS GULLY G1A</t>
  </si>
  <si>
    <t>GAVINS GULLY G1B</t>
  </si>
  <si>
    <t>GAVINS GULLY G1C</t>
  </si>
  <si>
    <t>GAVINS GULLY G2</t>
  </si>
  <si>
    <t>GAVINS GULLY G3</t>
  </si>
  <si>
    <t>GAVINS GULLY MAIN DRAIN</t>
  </si>
  <si>
    <t>Spray suckers.</t>
  </si>
  <si>
    <t>TIGER MAIN DRAIN</t>
  </si>
  <si>
    <t>TIGER A</t>
  </si>
  <si>
    <t>TIGER B</t>
  </si>
  <si>
    <t>VAIN MAIN DRAIN</t>
  </si>
  <si>
    <t>VAIN A</t>
  </si>
  <si>
    <t>VICEREGAL A</t>
  </si>
  <si>
    <t>VICEREGAL C</t>
  </si>
  <si>
    <t>VICEREGAL C1</t>
  </si>
  <si>
    <t>MANGOSTEEN 1A</t>
  </si>
  <si>
    <t>MANGOSTEEN A</t>
  </si>
  <si>
    <t>MANGOSTEEN A1</t>
  </si>
  <si>
    <t>MANGOSTEEN C</t>
  </si>
  <si>
    <t>MANGOSTEEN C1</t>
  </si>
  <si>
    <t>MANGOSTEEN D</t>
  </si>
  <si>
    <t>MANGOSTEEN E</t>
  </si>
  <si>
    <t>MANGOSTEEN F</t>
  </si>
  <si>
    <t>MANGOSTEEN G</t>
  </si>
  <si>
    <t>MANGOSTEEN H</t>
  </si>
  <si>
    <t>MANGOSTEEN J</t>
  </si>
  <si>
    <t>MANGOSTEEN J1</t>
  </si>
  <si>
    <t>MANGOSTEEN K</t>
  </si>
  <si>
    <t>MANGOSTEEN K4</t>
  </si>
  <si>
    <t>MANGOSTEEN L</t>
  </si>
  <si>
    <t>MANGOSTEEN MAIN DRAIN</t>
  </si>
  <si>
    <t>MANGOSTEEN N</t>
  </si>
  <si>
    <t>WELLESLEY A</t>
  </si>
  <si>
    <t>WELLESLEY A3C</t>
  </si>
  <si>
    <t>WELLESLEY A3C1</t>
  </si>
  <si>
    <t>WELLESLEY A4</t>
  </si>
  <si>
    <t>WELLESLEY C</t>
  </si>
  <si>
    <t>WELLESLEY C1</t>
  </si>
  <si>
    <t>WELLESLEY C2A</t>
  </si>
  <si>
    <t>WELLESLEY E</t>
  </si>
  <si>
    <t>WELLESLEY E2</t>
  </si>
  <si>
    <t>WELLESLEY E4</t>
  </si>
  <si>
    <t>WELLESLEY E5</t>
  </si>
  <si>
    <t>WELLESLEY MAIN DRAIN</t>
  </si>
  <si>
    <t>Contact Mike Butcher ( 0428193252 ) prior to entry.</t>
  </si>
  <si>
    <t>Total dist.</t>
  </si>
  <si>
    <t>Capel River Catchment</t>
  </si>
  <si>
    <t>GYNUDUP BK C</t>
  </si>
  <si>
    <t>Minninup Catchment</t>
  </si>
  <si>
    <t>MINNINUP DRAIN</t>
  </si>
  <si>
    <t>Pins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</si>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</sst>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/>
    <xf numFmtId="0" fontId="2" fillId="2" borderId="0" xfId="1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0" borderId="0" xfId="0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5" fillId="2" borderId="0" xfId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1" xfId="1" applyFont="1" applyBorder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0" xfId="1" applyFont="1" applyFill="1" applyAlignment="1">
      <alignment horizontal="left"/>
    </xf>
    <xf numFmtId="0" fontId="5" fillId="3" borderId="0" xfId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_Sheet1" xfId="1" xr:uid="{8B83E83F-B37F-49F8-ADBC-79A6766192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F5F0-05F7-46B9-95F3-33E9FA0D112F}">
  <dimension ref="A1:G216"/>
  <sheetViews>
    <sheetView tabSelected="1" workbookViewId="0">
      <selection activeCell="G10" sqref="G10"/>
    </sheetView>
  </sheetViews>
  <sheetFormatPr defaultColWidth="9.19921875" defaultRowHeight="15" x14ac:dyDescent="0.4"/>
  <cols>
    <col min="1" max="1" width="40.73046875" style="23" customWidth="1"/>
    <col min="2" max="4" width="12.73046875" style="9" customWidth="1"/>
    <col min="5" max="5" width="50.73046875" style="10" customWidth="1"/>
    <col min="6" max="256" width="9.19921875" style="11"/>
    <col min="257" max="257" width="40.73046875" style="11" customWidth="1"/>
    <col min="258" max="260" width="12.73046875" style="11" customWidth="1"/>
    <col min="261" max="261" width="50.73046875" style="11" customWidth="1"/>
    <col min="262" max="512" width="9.19921875" style="11"/>
    <col min="513" max="513" width="40.73046875" style="11" customWidth="1"/>
    <col min="514" max="516" width="12.73046875" style="11" customWidth="1"/>
    <col min="517" max="517" width="50.73046875" style="11" customWidth="1"/>
    <col min="518" max="768" width="9.19921875" style="11"/>
    <col min="769" max="769" width="40.73046875" style="11" customWidth="1"/>
    <col min="770" max="772" width="12.73046875" style="11" customWidth="1"/>
    <col min="773" max="773" width="50.73046875" style="11" customWidth="1"/>
    <col min="774" max="1024" width="9.19921875" style="11"/>
    <col min="1025" max="1025" width="40.73046875" style="11" customWidth="1"/>
    <col min="1026" max="1028" width="12.73046875" style="11" customWidth="1"/>
    <col min="1029" max="1029" width="50.73046875" style="11" customWidth="1"/>
    <col min="1030" max="1280" width="9.19921875" style="11"/>
    <col min="1281" max="1281" width="40.73046875" style="11" customWidth="1"/>
    <col min="1282" max="1284" width="12.73046875" style="11" customWidth="1"/>
    <col min="1285" max="1285" width="50.73046875" style="11" customWidth="1"/>
    <col min="1286" max="1536" width="9.19921875" style="11"/>
    <col min="1537" max="1537" width="40.73046875" style="11" customWidth="1"/>
    <col min="1538" max="1540" width="12.73046875" style="11" customWidth="1"/>
    <col min="1541" max="1541" width="50.73046875" style="11" customWidth="1"/>
    <col min="1542" max="1792" width="9.19921875" style="11"/>
    <col min="1793" max="1793" width="40.73046875" style="11" customWidth="1"/>
    <col min="1794" max="1796" width="12.73046875" style="11" customWidth="1"/>
    <col min="1797" max="1797" width="50.73046875" style="11" customWidth="1"/>
    <col min="1798" max="2048" width="9.19921875" style="11"/>
    <col min="2049" max="2049" width="40.73046875" style="11" customWidth="1"/>
    <col min="2050" max="2052" width="12.73046875" style="11" customWidth="1"/>
    <col min="2053" max="2053" width="50.73046875" style="11" customWidth="1"/>
    <col min="2054" max="2304" width="9.19921875" style="11"/>
    <col min="2305" max="2305" width="40.73046875" style="11" customWidth="1"/>
    <col min="2306" max="2308" width="12.73046875" style="11" customWidth="1"/>
    <col min="2309" max="2309" width="50.73046875" style="11" customWidth="1"/>
    <col min="2310" max="2560" width="9.19921875" style="11"/>
    <col min="2561" max="2561" width="40.73046875" style="11" customWidth="1"/>
    <col min="2562" max="2564" width="12.73046875" style="11" customWidth="1"/>
    <col min="2565" max="2565" width="50.73046875" style="11" customWidth="1"/>
    <col min="2566" max="2816" width="9.19921875" style="11"/>
    <col min="2817" max="2817" width="40.73046875" style="11" customWidth="1"/>
    <col min="2818" max="2820" width="12.73046875" style="11" customWidth="1"/>
    <col min="2821" max="2821" width="50.73046875" style="11" customWidth="1"/>
    <col min="2822" max="3072" width="9.19921875" style="11"/>
    <col min="3073" max="3073" width="40.73046875" style="11" customWidth="1"/>
    <col min="3074" max="3076" width="12.73046875" style="11" customWidth="1"/>
    <col min="3077" max="3077" width="50.73046875" style="11" customWidth="1"/>
    <col min="3078" max="3328" width="9.19921875" style="11"/>
    <col min="3329" max="3329" width="40.73046875" style="11" customWidth="1"/>
    <col min="3330" max="3332" width="12.73046875" style="11" customWidth="1"/>
    <col min="3333" max="3333" width="50.73046875" style="11" customWidth="1"/>
    <col min="3334" max="3584" width="9.19921875" style="11"/>
    <col min="3585" max="3585" width="40.73046875" style="11" customWidth="1"/>
    <col min="3586" max="3588" width="12.73046875" style="11" customWidth="1"/>
    <col min="3589" max="3589" width="50.73046875" style="11" customWidth="1"/>
    <col min="3590" max="3840" width="9.19921875" style="11"/>
    <col min="3841" max="3841" width="40.73046875" style="11" customWidth="1"/>
    <col min="3842" max="3844" width="12.73046875" style="11" customWidth="1"/>
    <col min="3845" max="3845" width="50.73046875" style="11" customWidth="1"/>
    <col min="3846" max="4096" width="9.19921875" style="11"/>
    <col min="4097" max="4097" width="40.73046875" style="11" customWidth="1"/>
    <col min="4098" max="4100" width="12.73046875" style="11" customWidth="1"/>
    <col min="4101" max="4101" width="50.73046875" style="11" customWidth="1"/>
    <col min="4102" max="4352" width="9.19921875" style="11"/>
    <col min="4353" max="4353" width="40.73046875" style="11" customWidth="1"/>
    <col min="4354" max="4356" width="12.73046875" style="11" customWidth="1"/>
    <col min="4357" max="4357" width="50.73046875" style="11" customWidth="1"/>
    <col min="4358" max="4608" width="9.19921875" style="11"/>
    <col min="4609" max="4609" width="40.73046875" style="11" customWidth="1"/>
    <col min="4610" max="4612" width="12.73046875" style="11" customWidth="1"/>
    <col min="4613" max="4613" width="50.73046875" style="11" customWidth="1"/>
    <col min="4614" max="4864" width="9.19921875" style="11"/>
    <col min="4865" max="4865" width="40.73046875" style="11" customWidth="1"/>
    <col min="4866" max="4868" width="12.73046875" style="11" customWidth="1"/>
    <col min="4869" max="4869" width="50.73046875" style="11" customWidth="1"/>
    <col min="4870" max="5120" width="9.19921875" style="11"/>
    <col min="5121" max="5121" width="40.73046875" style="11" customWidth="1"/>
    <col min="5122" max="5124" width="12.73046875" style="11" customWidth="1"/>
    <col min="5125" max="5125" width="50.73046875" style="11" customWidth="1"/>
    <col min="5126" max="5376" width="9.19921875" style="11"/>
    <col min="5377" max="5377" width="40.73046875" style="11" customWidth="1"/>
    <col min="5378" max="5380" width="12.73046875" style="11" customWidth="1"/>
    <col min="5381" max="5381" width="50.73046875" style="11" customWidth="1"/>
    <col min="5382" max="5632" width="9.19921875" style="11"/>
    <col min="5633" max="5633" width="40.73046875" style="11" customWidth="1"/>
    <col min="5634" max="5636" width="12.73046875" style="11" customWidth="1"/>
    <col min="5637" max="5637" width="50.73046875" style="11" customWidth="1"/>
    <col min="5638" max="5888" width="9.19921875" style="11"/>
    <col min="5889" max="5889" width="40.73046875" style="11" customWidth="1"/>
    <col min="5890" max="5892" width="12.73046875" style="11" customWidth="1"/>
    <col min="5893" max="5893" width="50.73046875" style="11" customWidth="1"/>
    <col min="5894" max="6144" width="9.19921875" style="11"/>
    <col min="6145" max="6145" width="40.73046875" style="11" customWidth="1"/>
    <col min="6146" max="6148" width="12.73046875" style="11" customWidth="1"/>
    <col min="6149" max="6149" width="50.73046875" style="11" customWidth="1"/>
    <col min="6150" max="6400" width="9.19921875" style="11"/>
    <col min="6401" max="6401" width="40.73046875" style="11" customWidth="1"/>
    <col min="6402" max="6404" width="12.73046875" style="11" customWidth="1"/>
    <col min="6405" max="6405" width="50.73046875" style="11" customWidth="1"/>
    <col min="6406" max="6656" width="9.19921875" style="11"/>
    <col min="6657" max="6657" width="40.73046875" style="11" customWidth="1"/>
    <col min="6658" max="6660" width="12.73046875" style="11" customWidth="1"/>
    <col min="6661" max="6661" width="50.73046875" style="11" customWidth="1"/>
    <col min="6662" max="6912" width="9.19921875" style="11"/>
    <col min="6913" max="6913" width="40.73046875" style="11" customWidth="1"/>
    <col min="6914" max="6916" width="12.73046875" style="11" customWidth="1"/>
    <col min="6917" max="6917" width="50.73046875" style="11" customWidth="1"/>
    <col min="6918" max="7168" width="9.19921875" style="11"/>
    <col min="7169" max="7169" width="40.73046875" style="11" customWidth="1"/>
    <col min="7170" max="7172" width="12.73046875" style="11" customWidth="1"/>
    <col min="7173" max="7173" width="50.73046875" style="11" customWidth="1"/>
    <col min="7174" max="7424" width="9.19921875" style="11"/>
    <col min="7425" max="7425" width="40.73046875" style="11" customWidth="1"/>
    <col min="7426" max="7428" width="12.73046875" style="11" customWidth="1"/>
    <col min="7429" max="7429" width="50.73046875" style="11" customWidth="1"/>
    <col min="7430" max="7680" width="9.19921875" style="11"/>
    <col min="7681" max="7681" width="40.73046875" style="11" customWidth="1"/>
    <col min="7682" max="7684" width="12.73046875" style="11" customWidth="1"/>
    <col min="7685" max="7685" width="50.73046875" style="11" customWidth="1"/>
    <col min="7686" max="7936" width="9.19921875" style="11"/>
    <col min="7937" max="7937" width="40.73046875" style="11" customWidth="1"/>
    <col min="7938" max="7940" width="12.73046875" style="11" customWidth="1"/>
    <col min="7941" max="7941" width="50.73046875" style="11" customWidth="1"/>
    <col min="7942" max="8192" width="9.19921875" style="11"/>
    <col min="8193" max="8193" width="40.73046875" style="11" customWidth="1"/>
    <col min="8194" max="8196" width="12.73046875" style="11" customWidth="1"/>
    <col min="8197" max="8197" width="50.73046875" style="11" customWidth="1"/>
    <col min="8198" max="8448" width="9.19921875" style="11"/>
    <col min="8449" max="8449" width="40.73046875" style="11" customWidth="1"/>
    <col min="8450" max="8452" width="12.73046875" style="11" customWidth="1"/>
    <col min="8453" max="8453" width="50.73046875" style="11" customWidth="1"/>
    <col min="8454" max="8704" width="9.19921875" style="11"/>
    <col min="8705" max="8705" width="40.73046875" style="11" customWidth="1"/>
    <col min="8706" max="8708" width="12.73046875" style="11" customWidth="1"/>
    <col min="8709" max="8709" width="50.73046875" style="11" customWidth="1"/>
    <col min="8710" max="8960" width="9.19921875" style="11"/>
    <col min="8961" max="8961" width="40.73046875" style="11" customWidth="1"/>
    <col min="8962" max="8964" width="12.73046875" style="11" customWidth="1"/>
    <col min="8965" max="8965" width="50.73046875" style="11" customWidth="1"/>
    <col min="8966" max="9216" width="9.19921875" style="11"/>
    <col min="9217" max="9217" width="40.73046875" style="11" customWidth="1"/>
    <col min="9218" max="9220" width="12.73046875" style="11" customWidth="1"/>
    <col min="9221" max="9221" width="50.73046875" style="11" customWidth="1"/>
    <col min="9222" max="9472" width="9.19921875" style="11"/>
    <col min="9473" max="9473" width="40.73046875" style="11" customWidth="1"/>
    <col min="9474" max="9476" width="12.73046875" style="11" customWidth="1"/>
    <col min="9477" max="9477" width="50.73046875" style="11" customWidth="1"/>
    <col min="9478" max="9728" width="9.19921875" style="11"/>
    <col min="9729" max="9729" width="40.73046875" style="11" customWidth="1"/>
    <col min="9730" max="9732" width="12.73046875" style="11" customWidth="1"/>
    <col min="9733" max="9733" width="50.73046875" style="11" customWidth="1"/>
    <col min="9734" max="9984" width="9.19921875" style="11"/>
    <col min="9985" max="9985" width="40.73046875" style="11" customWidth="1"/>
    <col min="9986" max="9988" width="12.73046875" style="11" customWidth="1"/>
    <col min="9989" max="9989" width="50.73046875" style="11" customWidth="1"/>
    <col min="9990" max="10240" width="9.19921875" style="11"/>
    <col min="10241" max="10241" width="40.73046875" style="11" customWidth="1"/>
    <col min="10242" max="10244" width="12.73046875" style="11" customWidth="1"/>
    <col min="10245" max="10245" width="50.73046875" style="11" customWidth="1"/>
    <col min="10246" max="10496" width="9.19921875" style="11"/>
    <col min="10497" max="10497" width="40.73046875" style="11" customWidth="1"/>
    <col min="10498" max="10500" width="12.73046875" style="11" customWidth="1"/>
    <col min="10501" max="10501" width="50.73046875" style="11" customWidth="1"/>
    <col min="10502" max="10752" width="9.19921875" style="11"/>
    <col min="10753" max="10753" width="40.73046875" style="11" customWidth="1"/>
    <col min="10754" max="10756" width="12.73046875" style="11" customWidth="1"/>
    <col min="10757" max="10757" width="50.73046875" style="11" customWidth="1"/>
    <col min="10758" max="11008" width="9.19921875" style="11"/>
    <col min="11009" max="11009" width="40.73046875" style="11" customWidth="1"/>
    <col min="11010" max="11012" width="12.73046875" style="11" customWidth="1"/>
    <col min="11013" max="11013" width="50.73046875" style="11" customWidth="1"/>
    <col min="11014" max="11264" width="9.19921875" style="11"/>
    <col min="11265" max="11265" width="40.73046875" style="11" customWidth="1"/>
    <col min="11266" max="11268" width="12.73046875" style="11" customWidth="1"/>
    <col min="11269" max="11269" width="50.73046875" style="11" customWidth="1"/>
    <col min="11270" max="11520" width="9.19921875" style="11"/>
    <col min="11521" max="11521" width="40.73046875" style="11" customWidth="1"/>
    <col min="11522" max="11524" width="12.73046875" style="11" customWidth="1"/>
    <col min="11525" max="11525" width="50.73046875" style="11" customWidth="1"/>
    <col min="11526" max="11776" width="9.19921875" style="11"/>
    <col min="11777" max="11777" width="40.73046875" style="11" customWidth="1"/>
    <col min="11778" max="11780" width="12.73046875" style="11" customWidth="1"/>
    <col min="11781" max="11781" width="50.73046875" style="11" customWidth="1"/>
    <col min="11782" max="12032" width="9.19921875" style="11"/>
    <col min="12033" max="12033" width="40.73046875" style="11" customWidth="1"/>
    <col min="12034" max="12036" width="12.73046875" style="11" customWidth="1"/>
    <col min="12037" max="12037" width="50.73046875" style="11" customWidth="1"/>
    <col min="12038" max="12288" width="9.19921875" style="11"/>
    <col min="12289" max="12289" width="40.73046875" style="11" customWidth="1"/>
    <col min="12290" max="12292" width="12.73046875" style="11" customWidth="1"/>
    <col min="12293" max="12293" width="50.73046875" style="11" customWidth="1"/>
    <col min="12294" max="12544" width="9.19921875" style="11"/>
    <col min="12545" max="12545" width="40.73046875" style="11" customWidth="1"/>
    <col min="12546" max="12548" width="12.73046875" style="11" customWidth="1"/>
    <col min="12549" max="12549" width="50.73046875" style="11" customWidth="1"/>
    <col min="12550" max="12800" width="9.19921875" style="11"/>
    <col min="12801" max="12801" width="40.73046875" style="11" customWidth="1"/>
    <col min="12802" max="12804" width="12.73046875" style="11" customWidth="1"/>
    <col min="12805" max="12805" width="50.73046875" style="11" customWidth="1"/>
    <col min="12806" max="13056" width="9.19921875" style="11"/>
    <col min="13057" max="13057" width="40.73046875" style="11" customWidth="1"/>
    <col min="13058" max="13060" width="12.73046875" style="11" customWidth="1"/>
    <col min="13061" max="13061" width="50.73046875" style="11" customWidth="1"/>
    <col min="13062" max="13312" width="9.19921875" style="11"/>
    <col min="13313" max="13313" width="40.73046875" style="11" customWidth="1"/>
    <col min="13314" max="13316" width="12.73046875" style="11" customWidth="1"/>
    <col min="13317" max="13317" width="50.73046875" style="11" customWidth="1"/>
    <col min="13318" max="13568" width="9.19921875" style="11"/>
    <col min="13569" max="13569" width="40.73046875" style="11" customWidth="1"/>
    <col min="13570" max="13572" width="12.73046875" style="11" customWidth="1"/>
    <col min="13573" max="13573" width="50.73046875" style="11" customWidth="1"/>
    <col min="13574" max="13824" width="9.19921875" style="11"/>
    <col min="13825" max="13825" width="40.73046875" style="11" customWidth="1"/>
    <col min="13826" max="13828" width="12.73046875" style="11" customWidth="1"/>
    <col min="13829" max="13829" width="50.73046875" style="11" customWidth="1"/>
    <col min="13830" max="14080" width="9.19921875" style="11"/>
    <col min="14081" max="14081" width="40.73046875" style="11" customWidth="1"/>
    <col min="14082" max="14084" width="12.73046875" style="11" customWidth="1"/>
    <col min="14085" max="14085" width="50.73046875" style="11" customWidth="1"/>
    <col min="14086" max="14336" width="9.19921875" style="11"/>
    <col min="14337" max="14337" width="40.73046875" style="11" customWidth="1"/>
    <col min="14338" max="14340" width="12.73046875" style="11" customWidth="1"/>
    <col min="14341" max="14341" width="50.73046875" style="11" customWidth="1"/>
    <col min="14342" max="14592" width="9.19921875" style="11"/>
    <col min="14593" max="14593" width="40.73046875" style="11" customWidth="1"/>
    <col min="14594" max="14596" width="12.73046875" style="11" customWidth="1"/>
    <col min="14597" max="14597" width="50.73046875" style="11" customWidth="1"/>
    <col min="14598" max="14848" width="9.19921875" style="11"/>
    <col min="14849" max="14849" width="40.73046875" style="11" customWidth="1"/>
    <col min="14850" max="14852" width="12.73046875" style="11" customWidth="1"/>
    <col min="14853" max="14853" width="50.73046875" style="11" customWidth="1"/>
    <col min="14854" max="15104" width="9.19921875" style="11"/>
    <col min="15105" max="15105" width="40.73046875" style="11" customWidth="1"/>
    <col min="15106" max="15108" width="12.73046875" style="11" customWidth="1"/>
    <col min="15109" max="15109" width="50.73046875" style="11" customWidth="1"/>
    <col min="15110" max="15360" width="9.19921875" style="11"/>
    <col min="15361" max="15361" width="40.73046875" style="11" customWidth="1"/>
    <col min="15362" max="15364" width="12.73046875" style="11" customWidth="1"/>
    <col min="15365" max="15365" width="50.73046875" style="11" customWidth="1"/>
    <col min="15366" max="15616" width="9.19921875" style="11"/>
    <col min="15617" max="15617" width="40.73046875" style="11" customWidth="1"/>
    <col min="15618" max="15620" width="12.73046875" style="11" customWidth="1"/>
    <col min="15621" max="15621" width="50.73046875" style="11" customWidth="1"/>
    <col min="15622" max="15872" width="9.19921875" style="11"/>
    <col min="15873" max="15873" width="40.73046875" style="11" customWidth="1"/>
    <col min="15874" max="15876" width="12.73046875" style="11" customWidth="1"/>
    <col min="15877" max="15877" width="50.73046875" style="11" customWidth="1"/>
    <col min="15878" max="16128" width="9.19921875" style="11"/>
    <col min="16129" max="16129" width="40.73046875" style="11" customWidth="1"/>
    <col min="16130" max="16132" width="12.73046875" style="11" customWidth="1"/>
    <col min="16133" max="16133" width="50.73046875" style="11" customWidth="1"/>
    <col min="16134" max="16384" width="9.19921875" style="11"/>
  </cols>
  <sheetData>
    <row r="1" spans="1:7" s="3" customFormat="1" ht="15.75" customHeight="1" thickBot="1" x14ac:dyDescent="0.45">
      <c r="A1" s="1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9" t="s">
        <v>183</v>
      </c>
      <c r="G1" s="29"/>
    </row>
    <row r="2" spans="1:7" s="6" customFormat="1" x14ac:dyDescent="0.4">
      <c r="A2" s="17"/>
      <c r="B2" s="4"/>
      <c r="C2" s="4"/>
      <c r="D2" s="4"/>
      <c r="E2" s="5"/>
      <c r="F2" s="30" t="s">
        <v>184</v>
      </c>
      <c r="G2" s="30" t="s">
        <v>185</v>
      </c>
    </row>
    <row r="3" spans="1:7" s="6" customFormat="1" x14ac:dyDescent="0.4">
      <c r="A3" s="17" t="s">
        <v>5</v>
      </c>
      <c r="B3" s="4"/>
      <c r="C3" s="4"/>
      <c r="D3" s="4"/>
      <c r="E3" s="5"/>
    </row>
    <row r="4" spans="1:7" s="6" customFormat="1" x14ac:dyDescent="0.4">
      <c r="A4" s="17"/>
      <c r="B4" s="4"/>
      <c r="C4" s="4"/>
      <c r="D4" s="4"/>
      <c r="E4" s="5"/>
    </row>
    <row r="5" spans="1:7" x14ac:dyDescent="0.4">
      <c r="A5" s="18" t="s">
        <v>6</v>
      </c>
      <c r="B5" s="8">
        <v>0</v>
      </c>
      <c r="C5" s="8">
        <v>120</v>
      </c>
      <c r="D5" s="9">
        <f>(C5-B5)</f>
        <v>120</v>
      </c>
    </row>
    <row r="6" spans="1:7" x14ac:dyDescent="0.4">
      <c r="A6" s="18" t="s">
        <v>7</v>
      </c>
      <c r="B6" s="8">
        <v>1500</v>
      </c>
      <c r="C6" s="8">
        <v>2310</v>
      </c>
      <c r="D6" s="9">
        <f>(C6-B6)</f>
        <v>810</v>
      </c>
    </row>
    <row r="7" spans="1:7" x14ac:dyDescent="0.4">
      <c r="A7" s="18" t="s">
        <v>8</v>
      </c>
      <c r="B7" s="8">
        <v>0</v>
      </c>
      <c r="C7" s="8">
        <v>5530</v>
      </c>
      <c r="D7" s="9">
        <f>(C7-B7)</f>
        <v>5530</v>
      </c>
    </row>
    <row r="8" spans="1:7" x14ac:dyDescent="0.4">
      <c r="A8" s="19"/>
      <c r="B8" s="12"/>
      <c r="C8" s="12"/>
      <c r="D8" s="13"/>
      <c r="E8" s="14"/>
    </row>
    <row r="9" spans="1:7" x14ac:dyDescent="0.4">
      <c r="A9" s="18" t="s">
        <v>9</v>
      </c>
      <c r="B9" s="8">
        <v>850</v>
      </c>
      <c r="C9" s="8">
        <v>1190</v>
      </c>
      <c r="D9" s="9">
        <f>(C9-B9)</f>
        <v>340</v>
      </c>
      <c r="E9" s="10" t="s">
        <v>10</v>
      </c>
      <c r="F9" s="11">
        <v>-33.181813028200899</v>
      </c>
      <c r="G9" s="11">
        <v>115.822461644144</v>
      </c>
    </row>
    <row r="10" spans="1:7" x14ac:dyDescent="0.4">
      <c r="A10" s="18" t="s">
        <v>11</v>
      </c>
      <c r="B10" s="8">
        <v>0</v>
      </c>
      <c r="C10" s="8">
        <v>4300</v>
      </c>
      <c r="D10" s="9">
        <f t="shared" ref="D10:D37" si="0">(C10-B10)</f>
        <v>4300</v>
      </c>
    </row>
    <row r="11" spans="1:7" x14ac:dyDescent="0.4">
      <c r="A11" s="18" t="s">
        <v>12</v>
      </c>
      <c r="B11" s="8">
        <v>0</v>
      </c>
      <c r="C11" s="8">
        <v>1120</v>
      </c>
      <c r="D11" s="9">
        <f t="shared" si="0"/>
        <v>1120</v>
      </c>
    </row>
    <row r="12" spans="1:7" x14ac:dyDescent="0.4">
      <c r="A12" s="18" t="s">
        <v>13</v>
      </c>
      <c r="B12" s="8">
        <v>0</v>
      </c>
      <c r="C12" s="8">
        <v>530</v>
      </c>
      <c r="D12" s="9">
        <f t="shared" si="0"/>
        <v>530</v>
      </c>
    </row>
    <row r="13" spans="1:7" x14ac:dyDescent="0.4">
      <c r="A13" s="18" t="s">
        <v>14</v>
      </c>
      <c r="B13" s="8">
        <v>0</v>
      </c>
      <c r="C13" s="8">
        <v>2030</v>
      </c>
      <c r="D13" s="9">
        <f t="shared" si="0"/>
        <v>2030</v>
      </c>
    </row>
    <row r="14" spans="1:7" x14ac:dyDescent="0.4">
      <c r="A14" s="18" t="s">
        <v>15</v>
      </c>
      <c r="B14" s="8">
        <v>0</v>
      </c>
      <c r="C14" s="8">
        <v>6960</v>
      </c>
      <c r="D14" s="9">
        <f t="shared" si="0"/>
        <v>6960</v>
      </c>
    </row>
    <row r="15" spans="1:7" x14ac:dyDescent="0.4">
      <c r="A15" s="18" t="s">
        <v>16</v>
      </c>
      <c r="B15" s="8">
        <v>0</v>
      </c>
      <c r="C15" s="8">
        <v>1940</v>
      </c>
      <c r="D15" s="9">
        <f t="shared" si="0"/>
        <v>1940</v>
      </c>
    </row>
    <row r="16" spans="1:7" x14ac:dyDescent="0.4">
      <c r="A16" s="18" t="s">
        <v>17</v>
      </c>
      <c r="B16" s="8">
        <v>0</v>
      </c>
      <c r="C16" s="8">
        <v>170</v>
      </c>
      <c r="D16" s="9">
        <f t="shared" si="0"/>
        <v>170</v>
      </c>
    </row>
    <row r="17" spans="1:4" x14ac:dyDescent="0.4">
      <c r="A17" s="18" t="s">
        <v>18</v>
      </c>
      <c r="B17" s="8">
        <v>0</v>
      </c>
      <c r="C17" s="8">
        <v>3690</v>
      </c>
      <c r="D17" s="9">
        <f t="shared" si="0"/>
        <v>3690</v>
      </c>
    </row>
    <row r="18" spans="1:4" x14ac:dyDescent="0.4">
      <c r="A18" s="18" t="s">
        <v>19</v>
      </c>
      <c r="B18" s="8">
        <v>600</v>
      </c>
      <c r="C18" s="8">
        <v>3340</v>
      </c>
      <c r="D18" s="9">
        <f t="shared" si="0"/>
        <v>2740</v>
      </c>
    </row>
    <row r="19" spans="1:4" x14ac:dyDescent="0.4">
      <c r="A19" s="18" t="s">
        <v>20</v>
      </c>
      <c r="B19" s="8">
        <v>0</v>
      </c>
      <c r="C19" s="8">
        <v>1400</v>
      </c>
      <c r="D19" s="9">
        <f t="shared" si="0"/>
        <v>1400</v>
      </c>
    </row>
    <row r="20" spans="1:4" x14ac:dyDescent="0.4">
      <c r="A20" s="18" t="s">
        <v>21</v>
      </c>
      <c r="B20" s="8">
        <v>0</v>
      </c>
      <c r="C20" s="8">
        <v>410</v>
      </c>
      <c r="D20" s="9">
        <f t="shared" si="0"/>
        <v>410</v>
      </c>
    </row>
    <row r="21" spans="1:4" x14ac:dyDescent="0.4">
      <c r="A21" s="18" t="s">
        <v>22</v>
      </c>
      <c r="B21" s="8">
        <v>0</v>
      </c>
      <c r="C21" s="8">
        <v>830</v>
      </c>
      <c r="D21" s="9">
        <f t="shared" si="0"/>
        <v>830</v>
      </c>
    </row>
    <row r="22" spans="1:4" x14ac:dyDescent="0.4">
      <c r="A22" s="18" t="s">
        <v>23</v>
      </c>
      <c r="B22" s="8">
        <v>0</v>
      </c>
      <c r="C22" s="8">
        <v>90</v>
      </c>
      <c r="D22" s="9">
        <f t="shared" si="0"/>
        <v>90</v>
      </c>
    </row>
    <row r="23" spans="1:4" x14ac:dyDescent="0.4">
      <c r="A23" s="18" t="s">
        <v>24</v>
      </c>
      <c r="B23" s="8">
        <v>0</v>
      </c>
      <c r="C23" s="8">
        <v>170</v>
      </c>
      <c r="D23" s="9">
        <f t="shared" si="0"/>
        <v>170</v>
      </c>
    </row>
    <row r="24" spans="1:4" x14ac:dyDescent="0.4">
      <c r="A24" s="18" t="s">
        <v>25</v>
      </c>
      <c r="B24" s="8">
        <v>0</v>
      </c>
      <c r="C24" s="8">
        <v>350</v>
      </c>
      <c r="D24" s="9">
        <f t="shared" si="0"/>
        <v>350</v>
      </c>
    </row>
    <row r="25" spans="1:4" x14ac:dyDescent="0.4">
      <c r="A25" s="18" t="s">
        <v>26</v>
      </c>
      <c r="B25" s="8">
        <v>0</v>
      </c>
      <c r="C25" s="8">
        <v>600</v>
      </c>
      <c r="D25" s="9">
        <f t="shared" si="0"/>
        <v>600</v>
      </c>
    </row>
    <row r="26" spans="1:4" x14ac:dyDescent="0.4">
      <c r="A26" s="18" t="s">
        <v>27</v>
      </c>
      <c r="B26" s="8">
        <v>0</v>
      </c>
      <c r="C26" s="8">
        <v>40</v>
      </c>
      <c r="D26" s="9">
        <f t="shared" si="0"/>
        <v>40</v>
      </c>
    </row>
    <row r="27" spans="1:4" x14ac:dyDescent="0.4">
      <c r="A27" s="18" t="s">
        <v>28</v>
      </c>
      <c r="B27" s="8">
        <v>1300</v>
      </c>
      <c r="C27" s="8">
        <v>1570</v>
      </c>
      <c r="D27" s="9">
        <f t="shared" si="0"/>
        <v>270</v>
      </c>
    </row>
    <row r="28" spans="1:4" x14ac:dyDescent="0.4">
      <c r="A28" s="18" t="s">
        <v>29</v>
      </c>
      <c r="B28" s="8">
        <v>0</v>
      </c>
      <c r="C28" s="8">
        <v>400</v>
      </c>
      <c r="D28" s="9">
        <f t="shared" si="0"/>
        <v>400</v>
      </c>
    </row>
    <row r="29" spans="1:4" x14ac:dyDescent="0.4">
      <c r="A29" s="18" t="s">
        <v>30</v>
      </c>
      <c r="B29" s="8">
        <v>0</v>
      </c>
      <c r="C29" s="8">
        <v>110</v>
      </c>
      <c r="D29" s="9">
        <f t="shared" si="0"/>
        <v>110</v>
      </c>
    </row>
    <row r="30" spans="1:4" x14ac:dyDescent="0.4">
      <c r="A30" s="18" t="s">
        <v>31</v>
      </c>
      <c r="B30" s="8">
        <v>0</v>
      </c>
      <c r="C30" s="8">
        <v>1160</v>
      </c>
      <c r="D30" s="9">
        <f t="shared" si="0"/>
        <v>1160</v>
      </c>
    </row>
    <row r="31" spans="1:4" x14ac:dyDescent="0.4">
      <c r="A31" s="18" t="s">
        <v>32</v>
      </c>
      <c r="B31" s="8">
        <v>0</v>
      </c>
      <c r="C31" s="8">
        <v>40</v>
      </c>
      <c r="D31" s="9">
        <f t="shared" si="0"/>
        <v>40</v>
      </c>
    </row>
    <row r="32" spans="1:4" x14ac:dyDescent="0.4">
      <c r="A32" s="18" t="s">
        <v>33</v>
      </c>
      <c r="B32" s="8">
        <v>0</v>
      </c>
      <c r="C32" s="8">
        <v>620</v>
      </c>
      <c r="D32" s="9">
        <f t="shared" si="0"/>
        <v>620</v>
      </c>
    </row>
    <row r="33" spans="1:5" x14ac:dyDescent="0.4">
      <c r="A33" s="18" t="s">
        <v>34</v>
      </c>
      <c r="B33" s="8">
        <v>0</v>
      </c>
      <c r="C33" s="8">
        <v>400</v>
      </c>
      <c r="D33" s="9">
        <f t="shared" si="0"/>
        <v>400</v>
      </c>
    </row>
    <row r="34" spans="1:5" x14ac:dyDescent="0.4">
      <c r="A34" s="18" t="s">
        <v>35</v>
      </c>
      <c r="B34" s="8">
        <v>0</v>
      </c>
      <c r="C34" s="8">
        <v>560</v>
      </c>
      <c r="D34" s="9">
        <f t="shared" si="0"/>
        <v>560</v>
      </c>
    </row>
    <row r="35" spans="1:5" x14ac:dyDescent="0.4">
      <c r="A35" s="18" t="s">
        <v>36</v>
      </c>
      <c r="B35" s="8">
        <v>0</v>
      </c>
      <c r="C35" s="8">
        <v>810</v>
      </c>
      <c r="D35" s="9">
        <f t="shared" si="0"/>
        <v>810</v>
      </c>
    </row>
    <row r="36" spans="1:5" x14ac:dyDescent="0.4">
      <c r="A36" s="18" t="s">
        <v>37</v>
      </c>
      <c r="B36" s="8">
        <v>2700</v>
      </c>
      <c r="C36" s="8">
        <v>7700</v>
      </c>
      <c r="D36" s="9">
        <f t="shared" si="0"/>
        <v>5000</v>
      </c>
    </row>
    <row r="37" spans="1:5" x14ac:dyDescent="0.4">
      <c r="A37" s="18"/>
      <c r="B37" s="8">
        <v>10100</v>
      </c>
      <c r="C37" s="8">
        <v>11820</v>
      </c>
      <c r="D37" s="9">
        <f t="shared" si="0"/>
        <v>1720</v>
      </c>
    </row>
    <row r="38" spans="1:5" x14ac:dyDescent="0.4">
      <c r="A38" s="19"/>
      <c r="B38" s="12"/>
      <c r="C38" s="12"/>
      <c r="D38" s="13"/>
      <c r="E38" s="14"/>
    </row>
    <row r="39" spans="1:5" x14ac:dyDescent="0.4">
      <c r="A39" s="18" t="s">
        <v>38</v>
      </c>
      <c r="B39" s="8">
        <v>0</v>
      </c>
      <c r="C39" s="8">
        <v>500</v>
      </c>
      <c r="D39" s="9">
        <f>(C39-B39)</f>
        <v>500</v>
      </c>
    </row>
    <row r="40" spans="1:5" x14ac:dyDescent="0.4">
      <c r="A40" s="18"/>
      <c r="B40" s="8">
        <v>1000</v>
      </c>
      <c r="C40" s="8">
        <v>1840</v>
      </c>
      <c r="D40" s="9">
        <f>(C40-B40)</f>
        <v>840</v>
      </c>
    </row>
    <row r="41" spans="1:5" x14ac:dyDescent="0.4">
      <c r="A41" s="18" t="s">
        <v>39</v>
      </c>
      <c r="B41" s="8">
        <v>0</v>
      </c>
      <c r="C41" s="8">
        <v>820</v>
      </c>
      <c r="D41" s="9">
        <f>(C41-B41)</f>
        <v>820</v>
      </c>
    </row>
    <row r="42" spans="1:5" x14ac:dyDescent="0.4">
      <c r="A42" s="18" t="s">
        <v>40</v>
      </c>
      <c r="B42" s="8">
        <v>0</v>
      </c>
      <c r="C42" s="8">
        <v>510</v>
      </c>
      <c r="D42" s="9">
        <f>(C42-B42)</f>
        <v>510</v>
      </c>
    </row>
    <row r="43" spans="1:5" x14ac:dyDescent="0.4">
      <c r="A43" s="18" t="s">
        <v>41</v>
      </c>
      <c r="B43" s="8">
        <v>0</v>
      </c>
      <c r="C43" s="8">
        <v>180</v>
      </c>
      <c r="D43" s="9">
        <f>(C43-B43)</f>
        <v>180</v>
      </c>
    </row>
    <row r="44" spans="1:5" x14ac:dyDescent="0.4">
      <c r="A44" s="19"/>
      <c r="B44" s="12"/>
      <c r="C44" s="12"/>
      <c r="D44" s="13"/>
      <c r="E44" s="14"/>
    </row>
    <row r="45" spans="1:5" x14ac:dyDescent="0.4">
      <c r="A45" s="18" t="s">
        <v>42</v>
      </c>
      <c r="B45" s="8">
        <v>0</v>
      </c>
      <c r="C45" s="8">
        <v>380</v>
      </c>
      <c r="D45" s="9">
        <f t="shared" ref="D45:D51" si="1">(C45-B45)</f>
        <v>380</v>
      </c>
    </row>
    <row r="46" spans="1:5" x14ac:dyDescent="0.4">
      <c r="A46" s="18" t="s">
        <v>43</v>
      </c>
      <c r="B46" s="8">
        <v>0</v>
      </c>
      <c r="C46" s="8">
        <v>250</v>
      </c>
      <c r="D46" s="9">
        <f t="shared" si="1"/>
        <v>250</v>
      </c>
    </row>
    <row r="47" spans="1:5" x14ac:dyDescent="0.4">
      <c r="A47" s="18" t="s">
        <v>44</v>
      </c>
      <c r="B47" s="8">
        <v>0</v>
      </c>
      <c r="C47" s="8">
        <v>3660</v>
      </c>
      <c r="D47" s="9">
        <f t="shared" si="1"/>
        <v>3660</v>
      </c>
    </row>
    <row r="48" spans="1:5" x14ac:dyDescent="0.4">
      <c r="A48" s="18" t="s">
        <v>45</v>
      </c>
      <c r="B48" s="8">
        <v>0</v>
      </c>
      <c r="C48" s="8">
        <v>1650</v>
      </c>
      <c r="D48" s="9">
        <f t="shared" si="1"/>
        <v>1650</v>
      </c>
    </row>
    <row r="49" spans="1:5" x14ac:dyDescent="0.4">
      <c r="A49" s="18" t="s">
        <v>46</v>
      </c>
      <c r="B49" s="8">
        <v>0</v>
      </c>
      <c r="C49" s="8">
        <v>590</v>
      </c>
      <c r="D49" s="9">
        <f t="shared" si="1"/>
        <v>590</v>
      </c>
    </row>
    <row r="50" spans="1:5" x14ac:dyDescent="0.4">
      <c r="A50" s="18" t="s">
        <v>47</v>
      </c>
      <c r="B50" s="8">
        <v>0</v>
      </c>
      <c r="C50" s="8">
        <v>1940</v>
      </c>
      <c r="D50" s="9">
        <f t="shared" si="1"/>
        <v>1940</v>
      </c>
    </row>
    <row r="51" spans="1:5" x14ac:dyDescent="0.4">
      <c r="A51" s="18" t="s">
        <v>48</v>
      </c>
      <c r="B51" s="8">
        <v>2500</v>
      </c>
      <c r="C51" s="8">
        <v>4250</v>
      </c>
      <c r="D51" s="9">
        <f t="shared" si="1"/>
        <v>1750</v>
      </c>
    </row>
    <row r="52" spans="1:5" x14ac:dyDescent="0.4">
      <c r="A52" s="19"/>
      <c r="B52" s="12"/>
      <c r="C52" s="12"/>
      <c r="D52" s="13"/>
      <c r="E52" s="14"/>
    </row>
    <row r="53" spans="1:5" x14ac:dyDescent="0.4">
      <c r="A53" s="19"/>
      <c r="B53" s="12"/>
      <c r="C53" s="12"/>
      <c r="D53" s="13"/>
      <c r="E53" s="14"/>
    </row>
    <row r="54" spans="1:5" x14ac:dyDescent="0.4">
      <c r="A54" s="18" t="s">
        <v>49</v>
      </c>
      <c r="B54" s="8">
        <v>1500</v>
      </c>
      <c r="C54" s="8">
        <v>2800</v>
      </c>
      <c r="D54" s="9">
        <f>(C54-B54)</f>
        <v>1300</v>
      </c>
    </row>
    <row r="55" spans="1:5" x14ac:dyDescent="0.4">
      <c r="A55" s="18" t="s">
        <v>50</v>
      </c>
      <c r="B55" s="8">
        <v>0</v>
      </c>
      <c r="C55" s="8">
        <v>1520</v>
      </c>
      <c r="D55" s="9">
        <f>(C55-B55)</f>
        <v>1520</v>
      </c>
    </row>
    <row r="56" spans="1:5" x14ac:dyDescent="0.4">
      <c r="A56" s="18" t="s">
        <v>51</v>
      </c>
      <c r="B56" s="8">
        <v>0</v>
      </c>
      <c r="C56" s="8">
        <v>520</v>
      </c>
      <c r="D56" s="9">
        <f>(C56-B56)</f>
        <v>520</v>
      </c>
    </row>
    <row r="57" spans="1:5" x14ac:dyDescent="0.4">
      <c r="A57" s="18" t="s">
        <v>52</v>
      </c>
      <c r="B57" s="8">
        <v>0</v>
      </c>
      <c r="C57" s="8">
        <v>250</v>
      </c>
      <c r="D57" s="9">
        <f>(C57-B57)</f>
        <v>250</v>
      </c>
    </row>
    <row r="58" spans="1:5" x14ac:dyDescent="0.4">
      <c r="A58" s="19"/>
      <c r="B58" s="12"/>
      <c r="C58" s="12"/>
      <c r="D58" s="13"/>
      <c r="E58" s="14"/>
    </row>
    <row r="59" spans="1:5" x14ac:dyDescent="0.4">
      <c r="A59" s="18" t="s">
        <v>53</v>
      </c>
      <c r="B59" s="8">
        <v>0</v>
      </c>
      <c r="C59" s="8">
        <v>530</v>
      </c>
      <c r="D59" s="9">
        <f>(C59-B59)</f>
        <v>530</v>
      </c>
    </row>
    <row r="60" spans="1:5" x14ac:dyDescent="0.4">
      <c r="A60" s="18" t="s">
        <v>54</v>
      </c>
      <c r="B60" s="8">
        <v>0</v>
      </c>
      <c r="C60" s="8">
        <v>890</v>
      </c>
      <c r="D60" s="9">
        <f>(C60-B60)</f>
        <v>890</v>
      </c>
    </row>
    <row r="61" spans="1:5" x14ac:dyDescent="0.4">
      <c r="A61" s="19"/>
      <c r="B61" s="12"/>
      <c r="C61" s="12"/>
      <c r="D61" s="13"/>
      <c r="E61" s="14"/>
    </row>
    <row r="62" spans="1:5" x14ac:dyDescent="0.4">
      <c r="A62" s="18" t="s">
        <v>55</v>
      </c>
      <c r="B62" s="8">
        <v>0</v>
      </c>
      <c r="C62" s="8">
        <v>660</v>
      </c>
      <c r="D62" s="9">
        <f t="shared" ref="D62:D69" si="2">(C62-B62)</f>
        <v>660</v>
      </c>
    </row>
    <row r="63" spans="1:5" x14ac:dyDescent="0.4">
      <c r="A63" s="18" t="s">
        <v>56</v>
      </c>
      <c r="B63" s="8">
        <v>0</v>
      </c>
      <c r="C63" s="8">
        <v>1230</v>
      </c>
      <c r="D63" s="9">
        <f t="shared" si="2"/>
        <v>1230</v>
      </c>
    </row>
    <row r="64" spans="1:5" x14ac:dyDescent="0.4">
      <c r="A64" s="18" t="s">
        <v>57</v>
      </c>
      <c r="B64" s="8">
        <v>2200</v>
      </c>
      <c r="C64" s="8">
        <v>3150</v>
      </c>
      <c r="D64" s="9">
        <f t="shared" si="2"/>
        <v>950</v>
      </c>
    </row>
    <row r="65" spans="1:5" x14ac:dyDescent="0.4">
      <c r="A65" s="18" t="s">
        <v>58</v>
      </c>
      <c r="B65" s="8">
        <v>0</v>
      </c>
      <c r="C65" s="8">
        <v>1030</v>
      </c>
      <c r="D65" s="9">
        <f t="shared" si="2"/>
        <v>1030</v>
      </c>
    </row>
    <row r="66" spans="1:5" x14ac:dyDescent="0.4">
      <c r="A66" s="18" t="s">
        <v>59</v>
      </c>
      <c r="B66" s="8">
        <v>700</v>
      </c>
      <c r="C66" s="8">
        <v>1400</v>
      </c>
      <c r="D66" s="9">
        <f t="shared" si="2"/>
        <v>700</v>
      </c>
      <c r="E66" s="10" t="s">
        <v>60</v>
      </c>
    </row>
    <row r="67" spans="1:5" x14ac:dyDescent="0.4">
      <c r="A67" s="18" t="s">
        <v>61</v>
      </c>
      <c r="B67" s="8">
        <v>300</v>
      </c>
      <c r="C67" s="8">
        <v>920</v>
      </c>
      <c r="D67" s="9">
        <f t="shared" si="2"/>
        <v>620</v>
      </c>
      <c r="E67" s="10" t="s">
        <v>60</v>
      </c>
    </row>
    <row r="68" spans="1:5" x14ac:dyDescent="0.4">
      <c r="A68" s="18" t="s">
        <v>62</v>
      </c>
      <c r="B68" s="8">
        <v>0</v>
      </c>
      <c r="C68" s="8">
        <v>1150</v>
      </c>
      <c r="D68" s="9">
        <f t="shared" si="2"/>
        <v>1150</v>
      </c>
    </row>
    <row r="69" spans="1:5" x14ac:dyDescent="0.4">
      <c r="A69" s="18" t="s">
        <v>63</v>
      </c>
      <c r="B69" s="8">
        <v>5250</v>
      </c>
      <c r="C69" s="8">
        <v>6130</v>
      </c>
      <c r="D69" s="9">
        <f t="shared" si="2"/>
        <v>880</v>
      </c>
    </row>
    <row r="70" spans="1:5" x14ac:dyDescent="0.4">
      <c r="A70" s="19"/>
      <c r="B70" s="12"/>
      <c r="C70" s="12"/>
      <c r="D70" s="13"/>
      <c r="E70" s="14"/>
    </row>
    <row r="71" spans="1:5" x14ac:dyDescent="0.4">
      <c r="A71" s="18" t="s">
        <v>64</v>
      </c>
      <c r="B71" s="8">
        <v>0</v>
      </c>
      <c r="C71" s="8">
        <v>1010</v>
      </c>
      <c r="D71" s="9">
        <f>(C71-B71)</f>
        <v>1010</v>
      </c>
    </row>
    <row r="72" spans="1:5" x14ac:dyDescent="0.4">
      <c r="A72" s="18" t="s">
        <v>65</v>
      </c>
      <c r="B72" s="8">
        <v>0</v>
      </c>
      <c r="C72" s="8">
        <v>940</v>
      </c>
      <c r="D72" s="9">
        <f>(C72-B72)</f>
        <v>940</v>
      </c>
    </row>
    <row r="73" spans="1:5" x14ac:dyDescent="0.4">
      <c r="A73" s="18" t="s">
        <v>66</v>
      </c>
      <c r="B73" s="8">
        <v>0</v>
      </c>
      <c r="C73" s="8">
        <v>480</v>
      </c>
      <c r="D73" s="9">
        <f>(C73-B73)</f>
        <v>480</v>
      </c>
    </row>
    <row r="74" spans="1:5" x14ac:dyDescent="0.4">
      <c r="A74" s="18" t="s">
        <v>67</v>
      </c>
      <c r="B74" s="8">
        <v>0</v>
      </c>
      <c r="C74" s="8">
        <v>1600</v>
      </c>
      <c r="D74" s="9">
        <f>(C74-B74)</f>
        <v>1600</v>
      </c>
    </row>
    <row r="75" spans="1:5" x14ac:dyDescent="0.4">
      <c r="A75" s="19"/>
      <c r="B75" s="12"/>
      <c r="C75" s="12"/>
      <c r="D75" s="13"/>
      <c r="E75" s="14"/>
    </row>
    <row r="76" spans="1:5" x14ac:dyDescent="0.4">
      <c r="A76" s="18" t="s">
        <v>68</v>
      </c>
      <c r="B76" s="8">
        <v>400</v>
      </c>
      <c r="C76" s="8">
        <v>1750</v>
      </c>
      <c r="D76" s="9">
        <f>(C76-B76)</f>
        <v>1350</v>
      </c>
    </row>
    <row r="77" spans="1:5" x14ac:dyDescent="0.4">
      <c r="A77" s="19"/>
      <c r="B77" s="12"/>
      <c r="C77" s="12"/>
      <c r="D77" s="13"/>
      <c r="E77" s="14"/>
    </row>
    <row r="78" spans="1:5" x14ac:dyDescent="0.4">
      <c r="A78" s="18" t="s">
        <v>69</v>
      </c>
      <c r="B78" s="8">
        <v>0</v>
      </c>
      <c r="C78" s="8">
        <v>190</v>
      </c>
      <c r="D78" s="9">
        <f>(C78-B78)</f>
        <v>190</v>
      </c>
    </row>
    <row r="79" spans="1:5" x14ac:dyDescent="0.4">
      <c r="A79" s="19"/>
      <c r="B79" s="12"/>
      <c r="C79" s="12"/>
      <c r="D79" s="13"/>
      <c r="E79" s="14"/>
    </row>
    <row r="80" spans="1:5" x14ac:dyDescent="0.4">
      <c r="A80" s="18" t="s">
        <v>70</v>
      </c>
      <c r="B80" s="8">
        <v>900</v>
      </c>
      <c r="C80" s="8">
        <v>3610</v>
      </c>
      <c r="D80" s="9">
        <f t="shared" ref="D80:D89" si="3">(C80-B80)</f>
        <v>2710</v>
      </c>
    </row>
    <row r="81" spans="1:5" x14ac:dyDescent="0.4">
      <c r="A81" s="18" t="s">
        <v>71</v>
      </c>
      <c r="B81" s="8">
        <v>600</v>
      </c>
      <c r="C81" s="8">
        <v>2000</v>
      </c>
      <c r="D81" s="9">
        <f t="shared" si="3"/>
        <v>1400</v>
      </c>
    </row>
    <row r="82" spans="1:5" x14ac:dyDescent="0.4">
      <c r="A82" s="18" t="s">
        <v>72</v>
      </c>
      <c r="B82" s="8">
        <v>0</v>
      </c>
      <c r="C82" s="8">
        <v>260</v>
      </c>
      <c r="D82" s="9">
        <f t="shared" si="3"/>
        <v>260</v>
      </c>
    </row>
    <row r="83" spans="1:5" x14ac:dyDescent="0.4">
      <c r="A83" s="18" t="s">
        <v>73</v>
      </c>
      <c r="B83" s="8">
        <v>0</v>
      </c>
      <c r="C83" s="8">
        <v>620</v>
      </c>
      <c r="D83" s="9">
        <f t="shared" si="3"/>
        <v>620</v>
      </c>
    </row>
    <row r="84" spans="1:5" x14ac:dyDescent="0.4">
      <c r="A84" s="18" t="s">
        <v>74</v>
      </c>
      <c r="B84" s="8">
        <v>0</v>
      </c>
      <c r="C84" s="8">
        <v>50</v>
      </c>
      <c r="D84" s="9">
        <f t="shared" si="3"/>
        <v>50</v>
      </c>
    </row>
    <row r="85" spans="1:5" x14ac:dyDescent="0.4">
      <c r="A85" s="18" t="s">
        <v>75</v>
      </c>
      <c r="B85" s="8">
        <v>0</v>
      </c>
      <c r="C85" s="8">
        <v>1620</v>
      </c>
      <c r="D85" s="9">
        <f t="shared" si="3"/>
        <v>1620</v>
      </c>
    </row>
    <row r="86" spans="1:5" x14ac:dyDescent="0.4">
      <c r="A86" s="18" t="s">
        <v>76</v>
      </c>
      <c r="B86" s="8">
        <v>0</v>
      </c>
      <c r="C86" s="8">
        <v>1390</v>
      </c>
      <c r="D86" s="9">
        <f t="shared" si="3"/>
        <v>1390</v>
      </c>
    </row>
    <row r="87" spans="1:5" x14ac:dyDescent="0.4">
      <c r="A87" s="18" t="s">
        <v>77</v>
      </c>
      <c r="B87" s="8">
        <v>0</v>
      </c>
      <c r="C87" s="8">
        <v>430</v>
      </c>
      <c r="D87" s="9">
        <f t="shared" si="3"/>
        <v>430</v>
      </c>
    </row>
    <row r="88" spans="1:5" x14ac:dyDescent="0.4">
      <c r="A88" s="18" t="s">
        <v>78</v>
      </c>
      <c r="B88" s="8">
        <v>0</v>
      </c>
      <c r="C88" s="8">
        <v>430</v>
      </c>
      <c r="D88" s="9">
        <f t="shared" si="3"/>
        <v>430</v>
      </c>
    </row>
    <row r="89" spans="1:5" x14ac:dyDescent="0.4">
      <c r="A89" s="18" t="s">
        <v>79</v>
      </c>
      <c r="B89" s="8">
        <v>3800</v>
      </c>
      <c r="C89" s="8">
        <v>8250</v>
      </c>
      <c r="D89" s="9">
        <f t="shared" si="3"/>
        <v>4450</v>
      </c>
    </row>
    <row r="90" spans="1:5" x14ac:dyDescent="0.4">
      <c r="A90" s="19"/>
      <c r="B90" s="12"/>
      <c r="C90" s="12"/>
      <c r="D90" s="13"/>
      <c r="E90" s="14"/>
    </row>
    <row r="91" spans="1:5" x14ac:dyDescent="0.4">
      <c r="A91" s="19"/>
      <c r="B91" s="12"/>
      <c r="C91" s="12"/>
      <c r="D91" s="13"/>
      <c r="E91" s="14"/>
    </row>
    <row r="92" spans="1:5" x14ac:dyDescent="0.4">
      <c r="A92" s="18" t="s">
        <v>80</v>
      </c>
      <c r="B92" s="8">
        <v>0</v>
      </c>
      <c r="C92" s="8">
        <v>540</v>
      </c>
      <c r="D92" s="9">
        <f t="shared" ref="D92:D98" si="4">(C92-B92)</f>
        <v>540</v>
      </c>
    </row>
    <row r="93" spans="1:5" x14ac:dyDescent="0.4">
      <c r="A93" s="18" t="s">
        <v>81</v>
      </c>
      <c r="B93" s="8">
        <v>0</v>
      </c>
      <c r="C93" s="8">
        <v>880</v>
      </c>
      <c r="D93" s="9">
        <f t="shared" si="4"/>
        <v>880</v>
      </c>
    </row>
    <row r="94" spans="1:5" x14ac:dyDescent="0.4">
      <c r="A94" s="18" t="s">
        <v>82</v>
      </c>
      <c r="B94" s="8">
        <v>0</v>
      </c>
      <c r="C94" s="8">
        <v>960</v>
      </c>
      <c r="D94" s="9">
        <f t="shared" si="4"/>
        <v>960</v>
      </c>
    </row>
    <row r="95" spans="1:5" x14ac:dyDescent="0.4">
      <c r="A95" s="18" t="s">
        <v>83</v>
      </c>
      <c r="B95" s="8">
        <v>0</v>
      </c>
      <c r="C95" s="8">
        <v>1230</v>
      </c>
      <c r="D95" s="9">
        <f t="shared" si="4"/>
        <v>1230</v>
      </c>
    </row>
    <row r="96" spans="1:5" x14ac:dyDescent="0.4">
      <c r="A96" s="18" t="s">
        <v>84</v>
      </c>
      <c r="B96" s="8">
        <v>0</v>
      </c>
      <c r="C96" s="8">
        <v>820</v>
      </c>
      <c r="D96" s="9">
        <f t="shared" si="4"/>
        <v>820</v>
      </c>
    </row>
    <row r="97" spans="1:5" x14ac:dyDescent="0.4">
      <c r="A97" s="18" t="s">
        <v>85</v>
      </c>
      <c r="B97" s="8">
        <v>0</v>
      </c>
      <c r="C97" s="8">
        <v>360</v>
      </c>
      <c r="D97" s="9">
        <f t="shared" si="4"/>
        <v>360</v>
      </c>
    </row>
    <row r="98" spans="1:5" x14ac:dyDescent="0.4">
      <c r="A98" s="18" t="s">
        <v>86</v>
      </c>
      <c r="B98" s="8">
        <v>2800</v>
      </c>
      <c r="C98" s="8">
        <v>5880</v>
      </c>
      <c r="D98" s="9">
        <f t="shared" si="4"/>
        <v>3080</v>
      </c>
    </row>
    <row r="99" spans="1:5" x14ac:dyDescent="0.4">
      <c r="A99" s="19"/>
      <c r="B99" s="12"/>
      <c r="C99" s="12"/>
      <c r="D99" s="13"/>
      <c r="E99" s="14"/>
    </row>
    <row r="100" spans="1:5" x14ac:dyDescent="0.4">
      <c r="A100" s="18" t="s">
        <v>87</v>
      </c>
      <c r="B100" s="8">
        <v>0</v>
      </c>
      <c r="C100" s="8">
        <v>830</v>
      </c>
      <c r="D100" s="9">
        <f>(C100-B100)</f>
        <v>830</v>
      </c>
    </row>
    <row r="101" spans="1:5" x14ac:dyDescent="0.4">
      <c r="A101" s="19"/>
      <c r="B101" s="12"/>
      <c r="C101" s="12"/>
      <c r="D101" s="13"/>
      <c r="E101" s="14"/>
    </row>
    <row r="102" spans="1:5" x14ac:dyDescent="0.4">
      <c r="A102" s="18" t="s">
        <v>88</v>
      </c>
      <c r="B102" s="8">
        <v>0</v>
      </c>
      <c r="C102" s="8">
        <v>680</v>
      </c>
      <c r="D102" s="9">
        <f t="shared" ref="D102:D115" si="5">(C102-B102)</f>
        <v>680</v>
      </c>
    </row>
    <row r="103" spans="1:5" x14ac:dyDescent="0.4">
      <c r="A103" s="18" t="s">
        <v>89</v>
      </c>
      <c r="B103" s="8">
        <v>150</v>
      </c>
      <c r="C103" s="8">
        <v>4350</v>
      </c>
      <c r="D103" s="9">
        <f t="shared" si="5"/>
        <v>4200</v>
      </c>
    </row>
    <row r="104" spans="1:5" x14ac:dyDescent="0.4">
      <c r="A104" s="18" t="s">
        <v>90</v>
      </c>
      <c r="B104" s="8">
        <v>0</v>
      </c>
      <c r="C104" s="8">
        <v>120</v>
      </c>
      <c r="D104" s="9">
        <f t="shared" si="5"/>
        <v>120</v>
      </c>
    </row>
    <row r="105" spans="1:5" x14ac:dyDescent="0.4">
      <c r="A105" s="18" t="s">
        <v>91</v>
      </c>
      <c r="B105" s="8">
        <v>0</v>
      </c>
      <c r="C105" s="8">
        <v>420</v>
      </c>
      <c r="D105" s="9">
        <f t="shared" si="5"/>
        <v>420</v>
      </c>
      <c r="E105" s="10" t="s">
        <v>92</v>
      </c>
    </row>
    <row r="106" spans="1:5" x14ac:dyDescent="0.4">
      <c r="A106" s="18" t="s">
        <v>93</v>
      </c>
      <c r="B106" s="8">
        <v>0</v>
      </c>
      <c r="C106" s="8">
        <v>150</v>
      </c>
      <c r="D106" s="9">
        <f t="shared" si="5"/>
        <v>150</v>
      </c>
    </row>
    <row r="107" spans="1:5" x14ac:dyDescent="0.4">
      <c r="A107" s="18" t="s">
        <v>94</v>
      </c>
      <c r="B107" s="8">
        <v>0</v>
      </c>
      <c r="C107" s="8">
        <v>500</v>
      </c>
      <c r="D107" s="9">
        <f t="shared" si="5"/>
        <v>500</v>
      </c>
    </row>
    <row r="108" spans="1:5" x14ac:dyDescent="0.4">
      <c r="A108" s="18" t="s">
        <v>95</v>
      </c>
      <c r="B108" s="8">
        <v>0</v>
      </c>
      <c r="C108" s="8">
        <v>1100</v>
      </c>
      <c r="D108" s="9">
        <f t="shared" si="5"/>
        <v>1100</v>
      </c>
    </row>
    <row r="109" spans="1:5" x14ac:dyDescent="0.4">
      <c r="A109" s="18" t="s">
        <v>96</v>
      </c>
      <c r="B109" s="8">
        <v>0</v>
      </c>
      <c r="C109" s="8">
        <v>1160</v>
      </c>
      <c r="D109" s="9">
        <f t="shared" si="5"/>
        <v>1160</v>
      </c>
    </row>
    <row r="110" spans="1:5" x14ac:dyDescent="0.4">
      <c r="A110" s="18" t="s">
        <v>97</v>
      </c>
      <c r="B110" s="8">
        <v>0</v>
      </c>
      <c r="C110" s="8">
        <v>3680</v>
      </c>
      <c r="D110" s="9">
        <f t="shared" si="5"/>
        <v>3680</v>
      </c>
    </row>
    <row r="111" spans="1:5" x14ac:dyDescent="0.4">
      <c r="A111" s="18" t="s">
        <v>98</v>
      </c>
      <c r="B111" s="8">
        <v>0</v>
      </c>
      <c r="C111" s="8">
        <v>520</v>
      </c>
      <c r="D111" s="9">
        <f t="shared" si="5"/>
        <v>520</v>
      </c>
    </row>
    <row r="112" spans="1:5" x14ac:dyDescent="0.4">
      <c r="A112" s="18" t="s">
        <v>99</v>
      </c>
      <c r="B112" s="8">
        <v>0</v>
      </c>
      <c r="C112" s="8">
        <v>1190</v>
      </c>
      <c r="D112" s="9">
        <f t="shared" si="5"/>
        <v>1190</v>
      </c>
    </row>
    <row r="113" spans="1:5" x14ac:dyDescent="0.4">
      <c r="A113" s="18" t="s">
        <v>100</v>
      </c>
      <c r="B113" s="8">
        <v>0</v>
      </c>
      <c r="C113" s="8">
        <v>860</v>
      </c>
      <c r="D113" s="9">
        <f t="shared" si="5"/>
        <v>860</v>
      </c>
    </row>
    <row r="114" spans="1:5" x14ac:dyDescent="0.4">
      <c r="A114" s="18" t="s">
        <v>101</v>
      </c>
      <c r="B114" s="8">
        <v>3600</v>
      </c>
      <c r="C114" s="8">
        <v>8600</v>
      </c>
      <c r="D114" s="9">
        <f t="shared" si="5"/>
        <v>5000</v>
      </c>
    </row>
    <row r="115" spans="1:5" x14ac:dyDescent="0.4">
      <c r="A115" s="18"/>
      <c r="B115" s="8">
        <v>10000</v>
      </c>
      <c r="C115" s="8">
        <v>10720</v>
      </c>
      <c r="D115" s="9">
        <f t="shared" si="5"/>
        <v>720</v>
      </c>
    </row>
    <row r="116" spans="1:5" x14ac:dyDescent="0.4">
      <c r="A116" s="19"/>
      <c r="B116" s="12"/>
      <c r="C116" s="12"/>
      <c r="D116" s="13"/>
      <c r="E116" s="14"/>
    </row>
    <row r="117" spans="1:5" x14ac:dyDescent="0.4">
      <c r="A117" s="18" t="s">
        <v>102</v>
      </c>
      <c r="B117" s="8">
        <v>0</v>
      </c>
      <c r="C117" s="8">
        <v>1520</v>
      </c>
      <c r="D117" s="9">
        <f t="shared" ref="D117:D125" si="6">(C117-B117)</f>
        <v>1520</v>
      </c>
    </row>
    <row r="118" spans="1:5" x14ac:dyDescent="0.4">
      <c r="A118" s="18" t="s">
        <v>103</v>
      </c>
      <c r="B118" s="8">
        <v>0</v>
      </c>
      <c r="C118" s="8">
        <v>150</v>
      </c>
      <c r="D118" s="9">
        <f t="shared" si="6"/>
        <v>150</v>
      </c>
    </row>
    <row r="119" spans="1:5" x14ac:dyDescent="0.4">
      <c r="A119" s="18" t="s">
        <v>104</v>
      </c>
      <c r="B119" s="8">
        <v>0</v>
      </c>
      <c r="C119" s="8">
        <v>5940</v>
      </c>
      <c r="D119" s="9">
        <f t="shared" si="6"/>
        <v>5940</v>
      </c>
    </row>
    <row r="120" spans="1:5" x14ac:dyDescent="0.4">
      <c r="A120" s="18" t="s">
        <v>105</v>
      </c>
      <c r="B120" s="8">
        <v>0</v>
      </c>
      <c r="C120" s="8">
        <v>1920</v>
      </c>
      <c r="D120" s="9">
        <f t="shared" si="6"/>
        <v>1920</v>
      </c>
    </row>
    <row r="121" spans="1:5" x14ac:dyDescent="0.4">
      <c r="A121" s="18" t="s">
        <v>106</v>
      </c>
      <c r="B121" s="8">
        <v>0</v>
      </c>
      <c r="C121" s="8">
        <v>770</v>
      </c>
      <c r="D121" s="9">
        <f t="shared" si="6"/>
        <v>770</v>
      </c>
    </row>
    <row r="122" spans="1:5" x14ac:dyDescent="0.4">
      <c r="A122" s="18" t="s">
        <v>107</v>
      </c>
      <c r="B122" s="8">
        <v>0</v>
      </c>
      <c r="C122" s="8">
        <v>1600</v>
      </c>
      <c r="D122" s="9">
        <f t="shared" si="6"/>
        <v>1600</v>
      </c>
    </row>
    <row r="123" spans="1:5" x14ac:dyDescent="0.4">
      <c r="A123" s="18" t="s">
        <v>108</v>
      </c>
      <c r="B123" s="8">
        <v>0</v>
      </c>
      <c r="C123" s="8">
        <v>740</v>
      </c>
      <c r="D123" s="9">
        <f t="shared" si="6"/>
        <v>740</v>
      </c>
    </row>
    <row r="124" spans="1:5" x14ac:dyDescent="0.4">
      <c r="A124" s="18" t="s">
        <v>109</v>
      </c>
      <c r="B124" s="8">
        <v>300</v>
      </c>
      <c r="C124" s="8">
        <v>2500</v>
      </c>
      <c r="D124" s="9">
        <f t="shared" si="6"/>
        <v>2200</v>
      </c>
    </row>
    <row r="125" spans="1:5" x14ac:dyDescent="0.4">
      <c r="A125" s="18"/>
      <c r="B125" s="8">
        <v>5050</v>
      </c>
      <c r="C125" s="8">
        <v>7980</v>
      </c>
      <c r="D125" s="9">
        <f t="shared" si="6"/>
        <v>2930</v>
      </c>
    </row>
    <row r="126" spans="1:5" x14ac:dyDescent="0.4">
      <c r="A126" s="19"/>
      <c r="B126" s="12"/>
      <c r="C126" s="12"/>
      <c r="D126" s="13"/>
      <c r="E126" s="14"/>
    </row>
    <row r="127" spans="1:5" x14ac:dyDescent="0.4">
      <c r="A127" s="19"/>
      <c r="B127" s="12"/>
      <c r="C127" s="12"/>
      <c r="D127" s="13"/>
      <c r="E127" s="14"/>
    </row>
    <row r="128" spans="1:5" x14ac:dyDescent="0.4">
      <c r="A128" s="20" t="s">
        <v>110</v>
      </c>
      <c r="B128" s="12"/>
      <c r="C128" s="12"/>
      <c r="D128" s="13"/>
      <c r="E128" s="14"/>
    </row>
    <row r="129" spans="1:5" x14ac:dyDescent="0.4">
      <c r="A129" s="19"/>
      <c r="B129" s="12"/>
      <c r="C129" s="12"/>
      <c r="D129" s="13"/>
      <c r="E129" s="14"/>
    </row>
    <row r="130" spans="1:5" x14ac:dyDescent="0.4">
      <c r="A130" s="18" t="s">
        <v>111</v>
      </c>
      <c r="B130" s="8">
        <v>0</v>
      </c>
      <c r="C130" s="8">
        <v>3950</v>
      </c>
      <c r="D130" s="9">
        <f>(C130-B130)</f>
        <v>3950</v>
      </c>
    </row>
    <row r="131" spans="1:5" x14ac:dyDescent="0.4">
      <c r="A131" s="18" t="s">
        <v>112</v>
      </c>
      <c r="B131" s="8">
        <v>0</v>
      </c>
      <c r="C131" s="8">
        <v>60</v>
      </c>
      <c r="D131" s="9">
        <f>(C131-B131)</f>
        <v>60</v>
      </c>
    </row>
    <row r="132" spans="1:5" x14ac:dyDescent="0.4">
      <c r="A132" s="18" t="s">
        <v>113</v>
      </c>
      <c r="B132" s="8">
        <v>0</v>
      </c>
      <c r="C132" s="8">
        <v>70</v>
      </c>
      <c r="D132" s="9">
        <f>(C132-B132)</f>
        <v>70</v>
      </c>
    </row>
    <row r="133" spans="1:5" x14ac:dyDescent="0.4">
      <c r="A133" s="18" t="s">
        <v>114</v>
      </c>
      <c r="B133" s="8">
        <v>0</v>
      </c>
      <c r="C133" s="8">
        <v>320</v>
      </c>
      <c r="D133" s="9">
        <f>(C133-B133)</f>
        <v>320</v>
      </c>
    </row>
    <row r="134" spans="1:5" x14ac:dyDescent="0.4">
      <c r="A134" s="18" t="s">
        <v>115</v>
      </c>
      <c r="B134" s="8">
        <v>0</v>
      </c>
      <c r="C134" s="8">
        <v>250</v>
      </c>
      <c r="D134" s="9">
        <f>(C134-B134)</f>
        <v>250</v>
      </c>
    </row>
    <row r="135" spans="1:5" x14ac:dyDescent="0.4">
      <c r="A135" s="19"/>
      <c r="B135" s="12"/>
      <c r="C135" s="12"/>
      <c r="D135" s="13"/>
      <c r="E135" s="14"/>
    </row>
    <row r="136" spans="1:5" x14ac:dyDescent="0.4">
      <c r="A136" s="18" t="s">
        <v>116</v>
      </c>
      <c r="B136" s="8">
        <v>0</v>
      </c>
      <c r="C136" s="8">
        <v>960</v>
      </c>
      <c r="D136" s="9">
        <f t="shared" ref="D136:D144" si="7">(C136-B136)</f>
        <v>960</v>
      </c>
    </row>
    <row r="137" spans="1:5" x14ac:dyDescent="0.4">
      <c r="A137" s="18" t="s">
        <v>117</v>
      </c>
      <c r="B137" s="8">
        <v>0</v>
      </c>
      <c r="C137" s="8">
        <v>180</v>
      </c>
      <c r="D137" s="9">
        <f t="shared" si="7"/>
        <v>180</v>
      </c>
    </row>
    <row r="138" spans="1:5" x14ac:dyDescent="0.4">
      <c r="A138" s="18" t="s">
        <v>118</v>
      </c>
      <c r="B138" s="8">
        <v>0</v>
      </c>
      <c r="C138" s="8">
        <v>550</v>
      </c>
      <c r="D138" s="9">
        <f t="shared" si="7"/>
        <v>550</v>
      </c>
    </row>
    <row r="139" spans="1:5" x14ac:dyDescent="0.4">
      <c r="A139" s="18" t="s">
        <v>119</v>
      </c>
      <c r="B139" s="8">
        <v>0</v>
      </c>
      <c r="C139" s="8">
        <v>120</v>
      </c>
      <c r="D139" s="9">
        <f t="shared" si="7"/>
        <v>120</v>
      </c>
    </row>
    <row r="140" spans="1:5" x14ac:dyDescent="0.4">
      <c r="A140" s="18" t="s">
        <v>120</v>
      </c>
      <c r="B140" s="8">
        <v>0</v>
      </c>
      <c r="C140" s="8">
        <v>700</v>
      </c>
      <c r="D140" s="9">
        <f t="shared" si="7"/>
        <v>700</v>
      </c>
    </row>
    <row r="141" spans="1:5" x14ac:dyDescent="0.4">
      <c r="A141" s="18" t="s">
        <v>121</v>
      </c>
      <c r="B141" s="8">
        <v>0</v>
      </c>
      <c r="C141" s="8">
        <v>50</v>
      </c>
      <c r="D141" s="9">
        <f t="shared" si="7"/>
        <v>50</v>
      </c>
    </row>
    <row r="142" spans="1:5" x14ac:dyDescent="0.4">
      <c r="A142" s="18"/>
      <c r="B142" s="8">
        <v>400</v>
      </c>
      <c r="C142" s="8">
        <v>1600</v>
      </c>
      <c r="D142" s="9">
        <f t="shared" si="7"/>
        <v>1200</v>
      </c>
    </row>
    <row r="143" spans="1:5" x14ac:dyDescent="0.4">
      <c r="A143" s="18"/>
      <c r="B143" s="8">
        <v>2400</v>
      </c>
      <c r="C143" s="8">
        <v>3030</v>
      </c>
      <c r="D143" s="9">
        <f t="shared" si="7"/>
        <v>630</v>
      </c>
    </row>
    <row r="144" spans="1:5" x14ac:dyDescent="0.4">
      <c r="A144" s="18" t="s">
        <v>122</v>
      </c>
      <c r="B144" s="8">
        <v>0</v>
      </c>
      <c r="C144" s="8">
        <v>730</v>
      </c>
      <c r="D144" s="9">
        <f t="shared" si="7"/>
        <v>730</v>
      </c>
    </row>
    <row r="145" spans="1:5" x14ac:dyDescent="0.4">
      <c r="A145" s="21"/>
      <c r="B145" s="13"/>
      <c r="C145" s="13"/>
      <c r="D145" s="13"/>
      <c r="E145" s="14"/>
    </row>
    <row r="146" spans="1:5" x14ac:dyDescent="0.4">
      <c r="A146" s="18" t="s">
        <v>123</v>
      </c>
      <c r="B146" s="8">
        <v>0</v>
      </c>
      <c r="C146" s="8">
        <v>770</v>
      </c>
      <c r="D146" s="9">
        <f>(C146-B146)</f>
        <v>770</v>
      </c>
    </row>
    <row r="147" spans="1:5" x14ac:dyDescent="0.4">
      <c r="A147" s="18" t="s">
        <v>124</v>
      </c>
      <c r="B147" s="8">
        <v>0</v>
      </c>
      <c r="C147" s="8">
        <v>270</v>
      </c>
      <c r="D147" s="9">
        <f>(C147-B147)</f>
        <v>270</v>
      </c>
    </row>
    <row r="148" spans="1:5" x14ac:dyDescent="0.4">
      <c r="A148" s="21"/>
      <c r="B148" s="13"/>
      <c r="C148" s="13"/>
      <c r="D148" s="13"/>
      <c r="E148" s="14"/>
    </row>
    <row r="149" spans="1:5" x14ac:dyDescent="0.4">
      <c r="A149" s="18" t="s">
        <v>125</v>
      </c>
      <c r="B149" s="8">
        <v>0</v>
      </c>
      <c r="C149" s="8">
        <v>200</v>
      </c>
      <c r="D149" s="9">
        <f t="shared" ref="D149:D164" si="8">(C149-B149)</f>
        <v>200</v>
      </c>
    </row>
    <row r="150" spans="1:5" x14ac:dyDescent="0.4">
      <c r="A150" s="18" t="s">
        <v>126</v>
      </c>
      <c r="B150" s="8">
        <v>0</v>
      </c>
      <c r="C150" s="8">
        <v>160</v>
      </c>
      <c r="D150" s="9">
        <f t="shared" si="8"/>
        <v>160</v>
      </c>
    </row>
    <row r="151" spans="1:5" x14ac:dyDescent="0.4">
      <c r="A151" s="22" t="s">
        <v>127</v>
      </c>
      <c r="B151" s="9">
        <v>250</v>
      </c>
      <c r="C151" s="9">
        <v>375</v>
      </c>
      <c r="D151" s="9">
        <f t="shared" si="8"/>
        <v>125</v>
      </c>
    </row>
    <row r="152" spans="1:5" x14ac:dyDescent="0.4">
      <c r="A152" s="18" t="s">
        <v>128</v>
      </c>
      <c r="B152" s="8">
        <v>0</v>
      </c>
      <c r="C152" s="8">
        <v>1950</v>
      </c>
      <c r="D152" s="9">
        <f t="shared" si="8"/>
        <v>1950</v>
      </c>
    </row>
    <row r="153" spans="1:5" x14ac:dyDescent="0.4">
      <c r="A153" s="18" t="s">
        <v>129</v>
      </c>
      <c r="B153" s="8">
        <v>0</v>
      </c>
      <c r="C153" s="8">
        <v>1200</v>
      </c>
      <c r="D153" s="9">
        <f t="shared" si="8"/>
        <v>1200</v>
      </c>
    </row>
    <row r="154" spans="1:5" x14ac:dyDescent="0.4">
      <c r="A154" s="18" t="s">
        <v>130</v>
      </c>
      <c r="B154" s="8">
        <v>0</v>
      </c>
      <c r="C154" s="8">
        <v>620</v>
      </c>
      <c r="D154" s="9">
        <f t="shared" si="8"/>
        <v>620</v>
      </c>
    </row>
    <row r="155" spans="1:5" x14ac:dyDescent="0.4">
      <c r="A155" s="18" t="s">
        <v>131</v>
      </c>
      <c r="B155" s="8">
        <v>0</v>
      </c>
      <c r="C155" s="8">
        <v>2420</v>
      </c>
      <c r="D155" s="9">
        <f t="shared" si="8"/>
        <v>2420</v>
      </c>
    </row>
    <row r="156" spans="1:5" x14ac:dyDescent="0.4">
      <c r="A156" s="18" t="s">
        <v>132</v>
      </c>
      <c r="B156" s="8">
        <v>0</v>
      </c>
      <c r="C156" s="8">
        <v>1600</v>
      </c>
      <c r="D156" s="9">
        <f t="shared" si="8"/>
        <v>1600</v>
      </c>
    </row>
    <row r="157" spans="1:5" x14ac:dyDescent="0.4">
      <c r="A157" s="18" t="s">
        <v>133</v>
      </c>
      <c r="B157" s="8">
        <v>0</v>
      </c>
      <c r="C157" s="8">
        <v>150</v>
      </c>
      <c r="D157" s="9">
        <f t="shared" si="8"/>
        <v>150</v>
      </c>
    </row>
    <row r="158" spans="1:5" x14ac:dyDescent="0.4">
      <c r="A158" s="18" t="s">
        <v>134</v>
      </c>
      <c r="B158" s="8">
        <v>0</v>
      </c>
      <c r="C158" s="8">
        <v>210</v>
      </c>
      <c r="D158" s="9">
        <f t="shared" si="8"/>
        <v>210</v>
      </c>
    </row>
    <row r="159" spans="1:5" x14ac:dyDescent="0.4">
      <c r="A159" s="18" t="s">
        <v>135</v>
      </c>
      <c r="B159" s="8">
        <v>0</v>
      </c>
      <c r="C159" s="8">
        <v>130</v>
      </c>
      <c r="D159" s="9">
        <f t="shared" si="8"/>
        <v>130</v>
      </c>
    </row>
    <row r="160" spans="1:5" x14ac:dyDescent="0.4">
      <c r="A160" s="18" t="s">
        <v>136</v>
      </c>
      <c r="B160" s="8">
        <v>0</v>
      </c>
      <c r="C160" s="8">
        <v>1970</v>
      </c>
      <c r="D160" s="9">
        <f t="shared" si="8"/>
        <v>1970</v>
      </c>
    </row>
    <row r="161" spans="1:5" x14ac:dyDescent="0.4">
      <c r="A161" s="18" t="s">
        <v>137</v>
      </c>
      <c r="B161" s="8">
        <v>0</v>
      </c>
      <c r="C161" s="8">
        <v>220</v>
      </c>
      <c r="D161" s="9">
        <f t="shared" si="8"/>
        <v>220</v>
      </c>
    </row>
    <row r="162" spans="1:5" x14ac:dyDescent="0.4">
      <c r="A162" s="18" t="s">
        <v>138</v>
      </c>
      <c r="B162" s="8">
        <v>2400</v>
      </c>
      <c r="C162" s="8">
        <v>3800</v>
      </c>
      <c r="D162" s="9">
        <f t="shared" si="8"/>
        <v>1400</v>
      </c>
      <c r="E162" s="11"/>
    </row>
    <row r="163" spans="1:5" x14ac:dyDescent="0.4">
      <c r="A163" s="18"/>
      <c r="B163" s="8">
        <v>4300</v>
      </c>
      <c r="C163" s="8">
        <v>5100</v>
      </c>
      <c r="D163" s="9">
        <f t="shared" si="8"/>
        <v>800</v>
      </c>
    </row>
    <row r="164" spans="1:5" x14ac:dyDescent="0.4">
      <c r="A164" s="18"/>
      <c r="B164" s="8">
        <v>7500</v>
      </c>
      <c r="C164" s="8">
        <v>8000</v>
      </c>
      <c r="D164" s="9">
        <f t="shared" si="8"/>
        <v>500</v>
      </c>
      <c r="E164" s="10" t="s">
        <v>139</v>
      </c>
    </row>
    <row r="165" spans="1:5" x14ac:dyDescent="0.4">
      <c r="A165" s="19"/>
      <c r="B165" s="12"/>
      <c r="C165" s="12"/>
      <c r="D165" s="13"/>
      <c r="E165" s="14"/>
    </row>
    <row r="166" spans="1:5" x14ac:dyDescent="0.4">
      <c r="A166" s="18" t="s">
        <v>140</v>
      </c>
      <c r="B166" s="8">
        <v>0</v>
      </c>
      <c r="C166" s="8">
        <v>2980</v>
      </c>
      <c r="D166" s="9">
        <f>(C166-B166)</f>
        <v>2980</v>
      </c>
    </row>
    <row r="167" spans="1:5" x14ac:dyDescent="0.4">
      <c r="A167" s="18" t="s">
        <v>141</v>
      </c>
      <c r="B167" s="8">
        <v>0</v>
      </c>
      <c r="C167" s="8">
        <v>400</v>
      </c>
      <c r="D167" s="9">
        <f>(C167-B167)</f>
        <v>400</v>
      </c>
    </row>
    <row r="168" spans="1:5" x14ac:dyDescent="0.4">
      <c r="A168" s="18" t="s">
        <v>142</v>
      </c>
      <c r="B168" s="8">
        <v>0</v>
      </c>
      <c r="C168" s="8">
        <v>750</v>
      </c>
      <c r="D168" s="9">
        <f>(C168-B168)</f>
        <v>750</v>
      </c>
    </row>
    <row r="169" spans="1:5" x14ac:dyDescent="0.4">
      <c r="A169" s="19"/>
      <c r="B169" s="12"/>
      <c r="C169" s="12"/>
      <c r="D169" s="13"/>
      <c r="E169" s="14"/>
    </row>
    <row r="170" spans="1:5" x14ac:dyDescent="0.4">
      <c r="A170" s="18" t="s">
        <v>143</v>
      </c>
      <c r="B170" s="8">
        <v>0</v>
      </c>
      <c r="C170" s="8">
        <v>230</v>
      </c>
      <c r="D170" s="9">
        <f>(C170-B170)</f>
        <v>230</v>
      </c>
    </row>
    <row r="171" spans="1:5" x14ac:dyDescent="0.4">
      <c r="A171" s="18" t="s">
        <v>144</v>
      </c>
      <c r="B171" s="8">
        <v>0</v>
      </c>
      <c r="C171" s="8">
        <v>350</v>
      </c>
      <c r="D171" s="9">
        <f>(C171-B171)</f>
        <v>350</v>
      </c>
    </row>
    <row r="172" spans="1:5" x14ac:dyDescent="0.4">
      <c r="A172" s="21"/>
      <c r="B172" s="13"/>
      <c r="C172" s="13"/>
      <c r="D172" s="13"/>
      <c r="E172" s="14"/>
    </row>
    <row r="173" spans="1:5" x14ac:dyDescent="0.4">
      <c r="A173" s="18" t="s">
        <v>145</v>
      </c>
      <c r="B173" s="8">
        <v>300</v>
      </c>
      <c r="C173" s="8">
        <v>500</v>
      </c>
      <c r="D173" s="9">
        <f>(C173-B173)</f>
        <v>200</v>
      </c>
    </row>
    <row r="174" spans="1:5" x14ac:dyDescent="0.4">
      <c r="A174" s="18" t="s">
        <v>146</v>
      </c>
      <c r="B174" s="8">
        <v>0</v>
      </c>
      <c r="C174" s="8">
        <v>400</v>
      </c>
      <c r="D174" s="9">
        <f>(C174-B174)</f>
        <v>400</v>
      </c>
    </row>
    <row r="175" spans="1:5" x14ac:dyDescent="0.4">
      <c r="A175" s="18"/>
      <c r="B175" s="8">
        <v>900</v>
      </c>
      <c r="C175" s="8">
        <v>1600</v>
      </c>
      <c r="D175" s="9">
        <f>(C175-B175)</f>
        <v>700</v>
      </c>
    </row>
    <row r="176" spans="1:5" x14ac:dyDescent="0.4">
      <c r="A176" s="18" t="s">
        <v>147</v>
      </c>
      <c r="B176" s="8">
        <v>0</v>
      </c>
      <c r="C176" s="8">
        <v>800</v>
      </c>
      <c r="D176" s="9">
        <f>(C176-B176)</f>
        <v>800</v>
      </c>
    </row>
    <row r="177" spans="1:5" x14ac:dyDescent="0.4">
      <c r="A177" s="18"/>
      <c r="B177" s="8">
        <v>2400</v>
      </c>
      <c r="C177" s="8">
        <v>3100</v>
      </c>
      <c r="D177" s="9">
        <f>(C177-B177)</f>
        <v>700</v>
      </c>
    </row>
    <row r="178" spans="1:5" x14ac:dyDescent="0.4">
      <c r="A178" s="21"/>
      <c r="B178" s="13"/>
      <c r="C178" s="13"/>
      <c r="D178" s="13"/>
      <c r="E178" s="14"/>
    </row>
    <row r="179" spans="1:5" x14ac:dyDescent="0.4">
      <c r="A179" s="21"/>
      <c r="B179" s="13"/>
      <c r="C179" s="13"/>
      <c r="D179" s="13"/>
      <c r="E179" s="14"/>
    </row>
    <row r="180" spans="1:5" x14ac:dyDescent="0.4">
      <c r="A180" s="18" t="s">
        <v>148</v>
      </c>
      <c r="B180" s="8">
        <v>0</v>
      </c>
      <c r="C180" s="8">
        <v>430</v>
      </c>
      <c r="D180" s="9">
        <f t="shared" ref="D180:D198" si="9">(C180-B180)</f>
        <v>430</v>
      </c>
    </row>
    <row r="181" spans="1:5" x14ac:dyDescent="0.4">
      <c r="A181" s="18" t="s">
        <v>149</v>
      </c>
      <c r="B181" s="8">
        <v>0</v>
      </c>
      <c r="C181" s="8">
        <v>1890</v>
      </c>
      <c r="D181" s="9">
        <f t="shared" si="9"/>
        <v>1890</v>
      </c>
    </row>
    <row r="182" spans="1:5" x14ac:dyDescent="0.4">
      <c r="A182" s="18" t="s">
        <v>150</v>
      </c>
      <c r="B182" s="8">
        <v>0</v>
      </c>
      <c r="C182" s="8">
        <v>610</v>
      </c>
      <c r="D182" s="9">
        <f t="shared" si="9"/>
        <v>610</v>
      </c>
    </row>
    <row r="183" spans="1:5" x14ac:dyDescent="0.4">
      <c r="A183" s="18" t="s">
        <v>151</v>
      </c>
      <c r="B183" s="8">
        <v>0</v>
      </c>
      <c r="C183" s="8">
        <v>1920</v>
      </c>
      <c r="D183" s="9">
        <f t="shared" si="9"/>
        <v>1920</v>
      </c>
    </row>
    <row r="184" spans="1:5" x14ac:dyDescent="0.4">
      <c r="A184" s="18" t="s">
        <v>152</v>
      </c>
      <c r="B184" s="8">
        <v>0</v>
      </c>
      <c r="C184" s="8">
        <v>40</v>
      </c>
      <c r="D184" s="9">
        <f t="shared" si="9"/>
        <v>40</v>
      </c>
    </row>
    <row r="185" spans="1:5" x14ac:dyDescent="0.4">
      <c r="A185" s="18" t="s">
        <v>153</v>
      </c>
      <c r="B185" s="8">
        <v>0</v>
      </c>
      <c r="C185" s="8">
        <v>2080</v>
      </c>
      <c r="D185" s="9">
        <f t="shared" si="9"/>
        <v>2080</v>
      </c>
    </row>
    <row r="186" spans="1:5" x14ac:dyDescent="0.4">
      <c r="A186" s="18" t="s">
        <v>154</v>
      </c>
      <c r="B186" s="8">
        <v>0</v>
      </c>
      <c r="C186" s="8">
        <v>870</v>
      </c>
      <c r="D186" s="9">
        <f t="shared" si="9"/>
        <v>870</v>
      </c>
    </row>
    <row r="187" spans="1:5" x14ac:dyDescent="0.4">
      <c r="A187" s="18" t="s">
        <v>155</v>
      </c>
      <c r="B187" s="8">
        <v>0</v>
      </c>
      <c r="C187" s="8">
        <v>1190</v>
      </c>
      <c r="D187" s="9">
        <f t="shared" si="9"/>
        <v>1190</v>
      </c>
    </row>
    <row r="188" spans="1:5" x14ac:dyDescent="0.4">
      <c r="A188" s="18" t="s">
        <v>156</v>
      </c>
      <c r="B188" s="8">
        <v>1050</v>
      </c>
      <c r="C188" s="8">
        <v>1940</v>
      </c>
      <c r="D188" s="9">
        <f t="shared" si="9"/>
        <v>890</v>
      </c>
    </row>
    <row r="189" spans="1:5" x14ac:dyDescent="0.4">
      <c r="A189" s="18" t="s">
        <v>157</v>
      </c>
      <c r="B189" s="8">
        <v>0</v>
      </c>
      <c r="C189" s="8">
        <v>280</v>
      </c>
      <c r="D189" s="9">
        <f t="shared" si="9"/>
        <v>280</v>
      </c>
    </row>
    <row r="190" spans="1:5" x14ac:dyDescent="0.4">
      <c r="A190" s="18" t="s">
        <v>158</v>
      </c>
      <c r="B190" s="8">
        <v>0</v>
      </c>
      <c r="C190" s="8">
        <v>720</v>
      </c>
      <c r="D190" s="9">
        <f t="shared" si="9"/>
        <v>720</v>
      </c>
    </row>
    <row r="191" spans="1:5" x14ac:dyDescent="0.4">
      <c r="A191" s="18" t="s">
        <v>159</v>
      </c>
      <c r="B191" s="8">
        <v>0</v>
      </c>
      <c r="C191" s="8">
        <v>160</v>
      </c>
      <c r="D191" s="9">
        <f t="shared" si="9"/>
        <v>160</v>
      </c>
    </row>
    <row r="192" spans="1:5" x14ac:dyDescent="0.4">
      <c r="A192" s="18" t="s">
        <v>160</v>
      </c>
      <c r="B192" s="8">
        <v>750</v>
      </c>
      <c r="C192" s="8">
        <v>1600</v>
      </c>
      <c r="D192" s="9">
        <f t="shared" si="9"/>
        <v>850</v>
      </c>
    </row>
    <row r="193" spans="1:5" x14ac:dyDescent="0.4">
      <c r="A193" s="18"/>
      <c r="B193" s="8">
        <v>2650</v>
      </c>
      <c r="C193" s="8">
        <v>4560</v>
      </c>
      <c r="D193" s="9">
        <f t="shared" si="9"/>
        <v>1910</v>
      </c>
    </row>
    <row r="194" spans="1:5" x14ac:dyDescent="0.4">
      <c r="A194" s="18" t="s">
        <v>161</v>
      </c>
      <c r="B194" s="8">
        <v>0</v>
      </c>
      <c r="C194" s="8">
        <v>750</v>
      </c>
      <c r="D194" s="9">
        <f t="shared" si="9"/>
        <v>750</v>
      </c>
    </row>
    <row r="195" spans="1:5" x14ac:dyDescent="0.4">
      <c r="A195" s="18" t="s">
        <v>162</v>
      </c>
      <c r="B195" s="8">
        <v>0</v>
      </c>
      <c r="C195" s="8">
        <v>230</v>
      </c>
      <c r="D195" s="9">
        <f t="shared" si="9"/>
        <v>230</v>
      </c>
    </row>
    <row r="196" spans="1:5" x14ac:dyDescent="0.4">
      <c r="A196" s="18" t="s">
        <v>163</v>
      </c>
      <c r="B196" s="8">
        <v>3200</v>
      </c>
      <c r="C196" s="8">
        <v>5000</v>
      </c>
      <c r="D196" s="9">
        <f t="shared" si="9"/>
        <v>1800</v>
      </c>
    </row>
    <row r="197" spans="1:5" x14ac:dyDescent="0.4">
      <c r="A197" s="18"/>
      <c r="B197" s="8">
        <v>8200</v>
      </c>
      <c r="C197" s="8">
        <v>9400</v>
      </c>
      <c r="D197" s="9">
        <f t="shared" si="9"/>
        <v>1200</v>
      </c>
    </row>
    <row r="198" spans="1:5" x14ac:dyDescent="0.4">
      <c r="A198" s="18" t="s">
        <v>164</v>
      </c>
      <c r="B198" s="8">
        <v>0</v>
      </c>
      <c r="C198" s="8">
        <v>3840</v>
      </c>
      <c r="D198" s="9">
        <f t="shared" si="9"/>
        <v>3840</v>
      </c>
    </row>
    <row r="199" spans="1:5" x14ac:dyDescent="0.4">
      <c r="A199" s="21"/>
      <c r="B199" s="13"/>
      <c r="C199" s="13"/>
      <c r="D199" s="13"/>
      <c r="E199" s="14"/>
    </row>
    <row r="200" spans="1:5" x14ac:dyDescent="0.4">
      <c r="A200" s="18" t="s">
        <v>165</v>
      </c>
      <c r="B200" s="8">
        <v>0</v>
      </c>
      <c r="C200" s="8">
        <v>5200</v>
      </c>
      <c r="D200" s="9">
        <f t="shared" ref="D200:D211" si="10">(C200-B200)</f>
        <v>5200</v>
      </c>
    </row>
    <row r="201" spans="1:5" x14ac:dyDescent="0.4">
      <c r="A201" s="18" t="s">
        <v>166</v>
      </c>
      <c r="B201" s="8">
        <v>500</v>
      </c>
      <c r="C201" s="8">
        <v>1330</v>
      </c>
      <c r="D201" s="9">
        <f t="shared" si="10"/>
        <v>830</v>
      </c>
    </row>
    <row r="202" spans="1:5" x14ac:dyDescent="0.4">
      <c r="A202" s="18" t="s">
        <v>167</v>
      </c>
      <c r="B202" s="8">
        <v>0</v>
      </c>
      <c r="C202" s="8">
        <v>1130</v>
      </c>
      <c r="D202" s="9">
        <f t="shared" si="10"/>
        <v>1130</v>
      </c>
    </row>
    <row r="203" spans="1:5" x14ac:dyDescent="0.4">
      <c r="A203" s="24" t="s">
        <v>168</v>
      </c>
      <c r="B203" s="15">
        <v>0</v>
      </c>
      <c r="C203" s="15">
        <v>260</v>
      </c>
      <c r="D203" s="9">
        <f t="shared" si="10"/>
        <v>260</v>
      </c>
    </row>
    <row r="204" spans="1:5" x14ac:dyDescent="0.4">
      <c r="A204" s="18" t="s">
        <v>169</v>
      </c>
      <c r="B204" s="8">
        <v>0</v>
      </c>
      <c r="C204" s="8">
        <v>4250</v>
      </c>
      <c r="D204" s="9">
        <f t="shared" si="10"/>
        <v>4250</v>
      </c>
    </row>
    <row r="205" spans="1:5" x14ac:dyDescent="0.4">
      <c r="A205" s="18" t="s">
        <v>170</v>
      </c>
      <c r="B205" s="8">
        <v>0</v>
      </c>
      <c r="C205" s="8">
        <v>3050</v>
      </c>
      <c r="D205" s="9">
        <f t="shared" si="10"/>
        <v>3050</v>
      </c>
    </row>
    <row r="206" spans="1:5" x14ac:dyDescent="0.4">
      <c r="A206" s="18" t="s">
        <v>171</v>
      </c>
      <c r="B206" s="8">
        <v>0</v>
      </c>
      <c r="C206" s="8">
        <v>310</v>
      </c>
      <c r="D206" s="9">
        <f t="shared" si="10"/>
        <v>310</v>
      </c>
    </row>
    <row r="207" spans="1:5" x14ac:dyDescent="0.4">
      <c r="A207" s="18" t="s">
        <v>172</v>
      </c>
      <c r="B207" s="8">
        <v>0</v>
      </c>
      <c r="C207" s="8">
        <v>4680</v>
      </c>
      <c r="D207" s="9">
        <f t="shared" si="10"/>
        <v>4680</v>
      </c>
    </row>
    <row r="208" spans="1:5" x14ac:dyDescent="0.4">
      <c r="A208" s="18" t="s">
        <v>173</v>
      </c>
      <c r="B208" s="8">
        <v>0</v>
      </c>
      <c r="C208" s="8">
        <v>1290</v>
      </c>
      <c r="D208" s="9">
        <f t="shared" si="10"/>
        <v>1290</v>
      </c>
    </row>
    <row r="209" spans="1:5" x14ac:dyDescent="0.4">
      <c r="A209" s="18" t="s">
        <v>174</v>
      </c>
      <c r="B209" s="8">
        <v>0</v>
      </c>
      <c r="C209" s="8">
        <v>620</v>
      </c>
      <c r="D209" s="9">
        <f t="shared" si="10"/>
        <v>620</v>
      </c>
    </row>
    <row r="210" spans="1:5" x14ac:dyDescent="0.4">
      <c r="A210" s="18" t="s">
        <v>175</v>
      </c>
      <c r="B210" s="8">
        <v>0</v>
      </c>
      <c r="C210" s="8">
        <v>500</v>
      </c>
      <c r="D210" s="9">
        <f t="shared" si="10"/>
        <v>500</v>
      </c>
    </row>
    <row r="211" spans="1:5" x14ac:dyDescent="0.4">
      <c r="A211" s="18" t="s">
        <v>176</v>
      </c>
      <c r="B211" s="8">
        <v>0</v>
      </c>
      <c r="C211" s="8">
        <v>7700</v>
      </c>
      <c r="D211" s="9">
        <f t="shared" si="10"/>
        <v>7700</v>
      </c>
      <c r="E211" s="10" t="s">
        <v>177</v>
      </c>
    </row>
    <row r="212" spans="1:5" x14ac:dyDescent="0.4">
      <c r="A212" s="21"/>
      <c r="B212" s="13"/>
      <c r="C212" s="13"/>
      <c r="D212" s="13"/>
      <c r="E212" s="14"/>
    </row>
    <row r="214" spans="1:5" x14ac:dyDescent="0.4">
      <c r="C214" s="9" t="s">
        <v>178</v>
      </c>
      <c r="D214" s="9">
        <f>SUM(D5:D211)</f>
        <v>219715</v>
      </c>
    </row>
    <row r="216" spans="1:5" x14ac:dyDescent="0.4">
      <c r="A216" s="21"/>
      <c r="B216" s="13"/>
      <c r="C216" s="13"/>
      <c r="D216" s="13"/>
      <c r="E216" s="14"/>
    </row>
  </sheetData>
  <mergeCells count="1">
    <mergeCell ref="F1:G1"/>
  </mergeCells>
  <pageMargins left="0.7" right="0.7" top="0.75" bottom="0.75" header="0.3" footer="0.3"/>
  <pageSetup paperSize="13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13BC-A1FA-4A7F-8FBA-2D1272614D4E}">
  <dimension ref="A1:E5"/>
  <sheetViews>
    <sheetView workbookViewId="0">
      <selection activeCell="A15" sqref="A15"/>
    </sheetView>
  </sheetViews>
  <sheetFormatPr defaultRowHeight="14.25" x14ac:dyDescent="0.45"/>
  <cols>
    <col min="1" max="1" width="38" bestFit="1" customWidth="1"/>
    <col min="2" max="2" width="6.06640625" bestFit="1" customWidth="1"/>
    <col min="3" max="3" width="7.33203125" bestFit="1" customWidth="1"/>
    <col min="4" max="4" width="12.265625" bestFit="1" customWidth="1"/>
    <col min="5" max="5" width="12.53125" bestFit="1" customWidth="1"/>
  </cols>
  <sheetData>
    <row r="1" spans="1:5" s="6" customFormat="1" ht="15.4" thickBot="1" x14ac:dyDescent="0.45">
      <c r="A1" s="16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s="11" customFormat="1" ht="15" x14ac:dyDescent="0.4">
      <c r="A2" s="25" t="s">
        <v>179</v>
      </c>
      <c r="B2" s="26"/>
      <c r="C2" s="26"/>
      <c r="D2" s="27"/>
      <c r="E2" s="28"/>
    </row>
    <row r="3" spans="1:5" s="11" customFormat="1" ht="15" x14ac:dyDescent="0.4">
      <c r="A3" s="7" t="s">
        <v>180</v>
      </c>
      <c r="B3" s="8">
        <v>5050</v>
      </c>
      <c r="C3" s="8">
        <v>13230</v>
      </c>
      <c r="D3" s="9">
        <f t="shared" ref="D3" si="0">(C3-B3)</f>
        <v>8180</v>
      </c>
      <c r="E3" s="10"/>
    </row>
    <row r="4" spans="1:5" s="11" customFormat="1" ht="15" x14ac:dyDescent="0.4">
      <c r="A4" s="25" t="s">
        <v>181</v>
      </c>
      <c r="B4" s="26"/>
      <c r="C4" s="26"/>
      <c r="D4" s="27"/>
      <c r="E4" s="28"/>
    </row>
    <row r="5" spans="1:5" s="11" customFormat="1" ht="15" x14ac:dyDescent="0.4">
      <c r="A5" s="7" t="s">
        <v>182</v>
      </c>
      <c r="B5" s="8">
        <v>1300</v>
      </c>
      <c r="C5" s="8">
        <v>2400</v>
      </c>
      <c r="D5" s="9">
        <f t="shared" ref="D5" si="1">(C5-B5)</f>
        <v>1100</v>
      </c>
      <c r="E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Roelands</vt:lpstr>
      <vt:lpstr>Busselton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Sharnee Howell</dc:creator>
  <cp:lastModifiedBy>Sean Stidwell</cp:lastModifiedBy>
  <dcterms:created xsi:type="dcterms:W3CDTF">2026-01-20T06:30:15Z</dcterms:created>
  <dcterms:modified xsi:type="dcterms:W3CDTF">2026-02-01T03:39:57Z</dcterms:modified>
</cp:coreProperties>
</file>